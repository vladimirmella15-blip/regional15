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lady\Downloads\"/>
    </mc:Choice>
  </mc:AlternateContent>
  <xr:revisionPtr revIDLastSave="0" documentId="13_ncr:1_{00AFAB06-88D6-4025-B192-FEBF4B101C5F}" xr6:coauthVersionLast="47" xr6:coauthVersionMax="47" xr10:uidLastSave="{00000000-0000-0000-0000-000000000000}"/>
  <bookViews>
    <workbookView xWindow="-108" yWindow="-108" windowWidth="23256" windowHeight="12456" xr2:uid="{13C03A24-A3F8-455A-A1C0-6DF50DA5EEF3}"/>
  </bookViews>
  <sheets>
    <sheet name="Consolidado" sheetId="27" r:id="rId1"/>
    <sheet name="Nivel Primario" sheetId="25" state="hidden" r:id="rId2"/>
    <sheet name="Nivel Secundario" sheetId="24" state="hidden" r:id="rId3"/>
    <sheet name="NS-Lengua Española" sheetId="23" state="hidden" r:id="rId4"/>
    <sheet name="NS-Matemáticas" sheetId="22" state="hidden" r:id="rId5"/>
    <sheet name="NS-Sociales" sheetId="21" state="hidden" r:id="rId6"/>
    <sheet name="NS-Naturales" sheetId="20" state="hidden" r:id="rId7"/>
    <sheet name="NS-Tecn. Profesional" sheetId="19" state="hidden" r:id="rId8"/>
    <sheet name="NS-Modalidad Artes" sheetId="18" state="hidden" r:id="rId9"/>
    <sheet name="NS-FIHR" sheetId="17" state="hidden" r:id="rId10"/>
    <sheet name="NS-Educación Fisica" sheetId="16" state="hidden" r:id="rId11"/>
    <sheet name="NS-Lenguas Extranjeras " sheetId="31" state="hidden" r:id="rId12"/>
    <sheet name="NS-Artistica" sheetId="15" state="hidden" r:id="rId13"/>
    <sheet name="Adultos" sheetId="30" state="hidden" r:id="rId14"/>
    <sheet name="Planificación" sheetId="14" state="hidden" r:id="rId15"/>
    <sheet name="Supervisión" sheetId="13" state="hidden" r:id="rId16"/>
    <sheet name="Evaluación de los aprendizajes" sheetId="12" state="hidden" r:id="rId17"/>
    <sheet name="Descentralización " sheetId="11" state="hidden" r:id="rId18"/>
    <sheet name="INABIE" sheetId="9" state="hidden" r:id="rId19"/>
    <sheet name="Cultura" sheetId="8" state="hidden" r:id="rId20"/>
    <sheet name="Gestión de riesgo" sheetId="7" state="hidden" r:id="rId21"/>
    <sheet name="SIGERD" sheetId="6" state="hidden" r:id="rId22"/>
    <sheet name="Informática Educa" sheetId="5" state="hidden" r:id="rId23"/>
    <sheet name="Inafocam" sheetId="4" state="hidden" r:id="rId24"/>
    <sheet name="Infraestructura" sheetId="2" state="hidden" r:id="rId25"/>
    <sheet name="Orientación y Psicología" sheetId="28" state="hidden" r:id="rId26"/>
    <sheet name="CAD" sheetId="29" state="hidden" r:id="rId27"/>
    <sheet name="Educación de Genero " sheetId="32" state="hidden" r:id="rId28"/>
    <sheet name="Coord. Curricular" sheetId="34" state="hidden" r:id="rId29"/>
    <sheet name="Participación Comunitaria" sheetId="35" state="hidden" r:id="rId30"/>
    <sheet name="Colegios Privados" sheetId="33" state="hidden"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35" l="1"/>
  <c r="G44" i="35"/>
  <c r="F44" i="35"/>
  <c r="E44" i="35"/>
  <c r="D44" i="35"/>
  <c r="C44" i="35"/>
  <c r="H42" i="33"/>
  <c r="G42" i="33"/>
  <c r="F42" i="33"/>
  <c r="E42" i="33"/>
  <c r="D42" i="33"/>
  <c r="C42" i="33"/>
  <c r="H40" i="34"/>
  <c r="G40" i="34"/>
  <c r="F40" i="34"/>
  <c r="E40" i="34"/>
  <c r="D40" i="34"/>
  <c r="C40" i="34"/>
  <c r="H61" i="32"/>
  <c r="G61" i="32"/>
  <c r="F61" i="32"/>
  <c r="E61" i="32"/>
  <c r="D61" i="32"/>
  <c r="C61" i="32"/>
  <c r="H38" i="29"/>
  <c r="G38" i="29"/>
  <c r="F38" i="29"/>
  <c r="E38" i="29"/>
  <c r="D38" i="29"/>
  <c r="C38" i="29"/>
  <c r="H48" i="28"/>
  <c r="G48" i="28"/>
  <c r="F48" i="28"/>
  <c r="E48" i="28"/>
  <c r="D48" i="28"/>
  <c r="C48" i="28"/>
  <c r="H35" i="2"/>
  <c r="G35" i="2"/>
  <c r="F35" i="2"/>
  <c r="E35" i="2"/>
  <c r="D35" i="2"/>
  <c r="C35" i="2"/>
  <c r="H36" i="4"/>
  <c r="G36" i="4"/>
  <c r="F36" i="4"/>
  <c r="E36" i="4"/>
  <c r="D36" i="4"/>
  <c r="C36" i="4"/>
  <c r="H60" i="5"/>
  <c r="G60" i="5"/>
  <c r="F60" i="5"/>
  <c r="E60" i="5"/>
  <c r="D60" i="5"/>
  <c r="C60" i="5"/>
  <c r="H38" i="6"/>
  <c r="G38" i="6"/>
  <c r="F38" i="6"/>
  <c r="E38" i="6"/>
  <c r="D38" i="6"/>
  <c r="C38" i="6"/>
  <c r="H39" i="7"/>
  <c r="G39" i="7"/>
  <c r="F39" i="7"/>
  <c r="E39" i="7"/>
  <c r="D39" i="7"/>
  <c r="C39" i="7"/>
  <c r="H59" i="8"/>
  <c r="G59" i="8"/>
  <c r="F59" i="8"/>
  <c r="E59" i="8"/>
  <c r="D59" i="8"/>
  <c r="C59" i="8"/>
  <c r="H50" i="9"/>
  <c r="G50" i="9"/>
  <c r="F50" i="9"/>
  <c r="E50" i="9"/>
  <c r="D50" i="9"/>
  <c r="C50" i="9"/>
  <c r="H35" i="11"/>
  <c r="G35" i="11"/>
  <c r="F35" i="11"/>
  <c r="E35" i="11"/>
  <c r="D35" i="11"/>
  <c r="C35" i="11"/>
  <c r="H46" i="12"/>
  <c r="G46" i="12"/>
  <c r="F46" i="12"/>
  <c r="E46" i="12"/>
  <c r="D46" i="12"/>
  <c r="C46" i="12"/>
  <c r="H48" i="13"/>
  <c r="G48" i="13"/>
  <c r="F48" i="13"/>
  <c r="E48" i="13"/>
  <c r="D48" i="13"/>
  <c r="C48" i="13"/>
  <c r="H43" i="14"/>
  <c r="G43" i="14"/>
  <c r="F43" i="14"/>
  <c r="E43" i="14"/>
  <c r="D43" i="14"/>
  <c r="C43" i="14"/>
  <c r="H46" i="30"/>
  <c r="G46" i="30"/>
  <c r="F46" i="30"/>
  <c r="E46" i="30"/>
  <c r="C46" i="30"/>
  <c r="H38" i="15"/>
  <c r="G38" i="15"/>
  <c r="F38" i="15"/>
  <c r="E38" i="15"/>
  <c r="D38" i="15"/>
  <c r="C38" i="15"/>
  <c r="H47" i="31"/>
  <c r="G47" i="31"/>
  <c r="F47" i="31"/>
  <c r="E47" i="31"/>
  <c r="D47" i="31"/>
  <c r="C47" i="31"/>
  <c r="H60" i="16"/>
  <c r="G60" i="16"/>
  <c r="F60" i="16"/>
  <c r="E60" i="16"/>
  <c r="D60" i="16"/>
  <c r="C60" i="16"/>
  <c r="H38" i="17"/>
  <c r="G38" i="17"/>
  <c r="F38" i="17"/>
  <c r="E38" i="17"/>
  <c r="D38" i="17"/>
  <c r="C38" i="17"/>
  <c r="H31" i="18"/>
  <c r="G31" i="18"/>
  <c r="F31" i="18"/>
  <c r="E31" i="18"/>
  <c r="D31" i="18"/>
  <c r="C31" i="18"/>
  <c r="H35" i="19"/>
  <c r="G35" i="19"/>
  <c r="F35" i="19"/>
  <c r="E35" i="19"/>
  <c r="D35" i="19"/>
  <c r="C35" i="19"/>
  <c r="H38" i="20"/>
  <c r="G38" i="20"/>
  <c r="F38" i="20"/>
  <c r="E38" i="20"/>
  <c r="D38" i="20"/>
  <c r="C38" i="20"/>
  <c r="H35" i="21"/>
  <c r="G35" i="21"/>
  <c r="F35" i="21"/>
  <c r="E35" i="21"/>
  <c r="D35" i="21"/>
  <c r="C35" i="21"/>
  <c r="H37" i="22"/>
  <c r="G37" i="22"/>
  <c r="F37" i="22"/>
  <c r="E37" i="22"/>
  <c r="D37" i="22"/>
  <c r="C37" i="22"/>
  <c r="H35" i="23"/>
  <c r="G35" i="23"/>
  <c r="F35" i="23"/>
  <c r="E35" i="23"/>
  <c r="D35" i="23"/>
  <c r="C35" i="23"/>
  <c r="I34" i="24"/>
  <c r="H34" i="24"/>
  <c r="G34" i="24"/>
  <c r="F34" i="24"/>
  <c r="E34" i="24"/>
  <c r="D34" i="24"/>
  <c r="H50" i="25"/>
  <c r="G50" i="25"/>
  <c r="F50" i="25"/>
  <c r="E50" i="25"/>
  <c r="D50" i="25"/>
  <c r="C50" i="25"/>
</calcChain>
</file>

<file path=xl/sharedStrings.xml><?xml version="1.0" encoding="utf-8"?>
<sst xmlns="http://schemas.openxmlformats.org/spreadsheetml/2006/main" count="3458" uniqueCount="772">
  <si>
    <t>PLAN DE TRABAJO Y EJECUCIÓN PARA REGIONALES Y DISTRITOS</t>
  </si>
  <si>
    <t>TRIMESTRE: Octubre-Diciembre, 2025.</t>
  </si>
  <si>
    <t xml:space="preserve">Regional:  1500    Fecha:  15/10/25 </t>
  </si>
  <si>
    <t>Nivel/Modalidad/Subsistema
/Dirección</t>
  </si>
  <si>
    <t xml:space="preserve">Actividad </t>
  </si>
  <si>
    <t>Objetivo</t>
  </si>
  <si>
    <t>Responsable(s)</t>
  </si>
  <si>
    <t>Participantes (coloque cantidad según el rol)</t>
  </si>
  <si>
    <t>Fecha (colocar en formato: 13/12/2024)</t>
  </si>
  <si>
    <t>Nivel de ejecución</t>
  </si>
  <si>
    <t>Observación  (detalle como se desarrolló la acción).</t>
  </si>
  <si>
    <t>Nivel Inicial</t>
  </si>
  <si>
    <t xml:space="preserve">Comunidad de aprendizaje </t>
  </si>
  <si>
    <t xml:space="preserve">Orientar al equipo técnico distrital  sobre normativas y lineamientos de procesos pedadogicos realizados en el Nivel Inicial </t>
  </si>
  <si>
    <t>Xiomara Calzado</t>
  </si>
  <si>
    <t xml:space="preserve">3 Técnicos regional        19  Técnicos Distrital    2 Encargadas CRECE    1 Bibliotecaria                   12 coordinadoras N.I                  </t>
  </si>
  <si>
    <t xml:space="preserve">En proceso </t>
  </si>
  <si>
    <t>Acompañamiento, monitoreo y seguimiento</t>
  </si>
  <si>
    <t xml:space="preserve">Acompañar la aplicacion de la evaluación Diagnóstica/integral en el segundo ciclo del Nivel Inicial </t>
  </si>
  <si>
    <t>Katy Durán</t>
  </si>
  <si>
    <t xml:space="preserve">2 Técnicos Regional       Técnicos Distritales        Equipo de gestión de centros educativos </t>
  </si>
  <si>
    <t xml:space="preserve">Presentación de logros Nivel Inicial </t>
  </si>
  <si>
    <t xml:space="preserve">Presentar los logros y Evaluación del año escolar 2024-2025.  Nivel incial </t>
  </si>
  <si>
    <t xml:space="preserve">3 Técnicos regional        19  Técnicos Distrital    2 Encargadas CRECE    1 Bibliotecaria                   35 Lideres de grupos pedagogicos                      40 coord. Pedagógica    20 invitados Reg/DEI </t>
  </si>
  <si>
    <t xml:space="preserve">Encuentro con la DEI, equipo Regional y distrital </t>
  </si>
  <si>
    <t xml:space="preserve">Participar en diferentes encuentros con el equipo de la DEI, de formación planificación y de las diferentes acciones realizadas en las unidades y departamento. </t>
  </si>
  <si>
    <t xml:space="preserve">3 Técnicos Regional         </t>
  </si>
  <si>
    <t>Registro de la data de los niños de 3 a 5 años en el sistema de información (SIGERD).</t>
  </si>
  <si>
    <t>Virayne Ramos</t>
  </si>
  <si>
    <t xml:space="preserve">6 distritos educativos     Centros educativos </t>
  </si>
  <si>
    <t xml:space="preserve">Acompañar Procesos aúlicos desarrollados en el Nivel Inicial </t>
  </si>
  <si>
    <t xml:space="preserve">3 Técnicos Regional         19 Técncios Distritales </t>
  </si>
  <si>
    <t xml:space="preserve">Acompañar la implemtación de protocolos MINERD/INAIPI, Inicial/primaria </t>
  </si>
  <si>
    <t xml:space="preserve">Acompañar los Grupos pedagigicos desarrollados en el Nivel incial </t>
  </si>
  <si>
    <t xml:space="preserve">Acompañar y apoyar   los Jardines de padres realizados en el Nivel Inical . </t>
  </si>
  <si>
    <t xml:space="preserve">Técnicos Regional               Técnicos Distrital               Familias </t>
  </si>
  <si>
    <t xml:space="preserve">Acompañar los Programas de formación que se estan realizando  con diferentes instituciones, para el Nivel Inicial. </t>
  </si>
  <si>
    <t xml:space="preserve">Realizar levantamiento de información e identificación  de espacios para la ampliación de cobertura en el segundo ciclo del Nivel Inicial. </t>
  </si>
  <si>
    <t xml:space="preserve">Técnicos Regional               Técnicos Distrital               </t>
  </si>
  <si>
    <t xml:space="preserve">Encuentro con los equipos del Nivel Inicial en modalidad virtual, divisiones y departamento: Departamento de aseguramiento del servicio del Nivel Inicial, División de Orientación pedagogica y división de apoyo a la labor docentes. </t>
  </si>
  <si>
    <t xml:space="preserve">Orientar al equipo técnico distrital  sobre normativas y lineamientos de procesos pedadogicos realizados en el Nivel Inicial, divisiones y departamento </t>
  </si>
  <si>
    <t>Técnico regional    Técnicos Distrital</t>
  </si>
  <si>
    <t>Nivel Primario</t>
  </si>
  <si>
    <t>Encuentro en contexto para el análisis, profundización y reflexión de los resultados arrojados de la evaluación diagnóstica (Lengua Española, Matemática, Ciencias Sociales y Ciencias de la Naturaleza) de los estudiantes del Nivel Primario.</t>
  </si>
  <si>
    <t>Encuentro en contexto para el análisis, profundización y reflexión de los resultados arrojados de la evaluación diagnóstica (Lengua Española, Matemática, Ciencias Sociales y Ciencias de la Naturaleza) de los estudiantes del Nivel Primario.Establecer programa integral para los aprendizajes en el segundo ciclo del Nivel Primario (CRECE Primaria)</t>
  </si>
  <si>
    <t>Ángela Fernández</t>
  </si>
  <si>
    <t>Dirección de Educación Primaria</t>
  </si>
  <si>
    <t>Ejecutado</t>
  </si>
  <si>
    <t>Este encuentro fue ejecutado los días 7 y 8/10/2025</t>
  </si>
  <si>
    <r>
      <rPr>
        <sz val="12"/>
        <color rgb="FF000000"/>
        <rFont val="Times New Roman"/>
      </rPr>
      <t xml:space="preserve">Capacitación a formadores de formadores dirigida a directores de centros educativos y coordinadores pedagógicos. </t>
    </r>
    <r>
      <rPr>
        <b/>
        <sz val="12"/>
        <color rgb="FF000000"/>
        <rFont val="Times New Roman"/>
      </rPr>
      <t>En modalidad virtual.Etapa Cierre Jornada Formativa de Verano 2025</t>
    </r>
  </si>
  <si>
    <t>Fortalecer los programas académicos de formación inicial y continua para docentes atendiendo a las demandas actuales</t>
  </si>
  <si>
    <t>Técnicos nacionales regionales y distritales</t>
  </si>
  <si>
    <t>17 y 20/10/2025 Matutino</t>
  </si>
  <si>
    <r>
      <rPr>
        <sz val="12"/>
        <color rgb="FF000000"/>
        <rFont val="Times New Roman"/>
      </rPr>
      <t>Comunidades de aprendizaje hacia el fortalecimiento de la gestión pedagógica-institucional de los directores de centros</t>
    </r>
    <r>
      <rPr>
        <b/>
        <sz val="12"/>
        <color rgb="FF000000"/>
        <rFont val="Times New Roman"/>
      </rPr>
      <t xml:space="preserve"> </t>
    </r>
    <r>
      <rPr>
        <sz val="12"/>
        <color rgb="FF000000"/>
        <rFont val="Times New Roman"/>
      </rPr>
      <t>y coordinadores pedagógicos. Etapa Cierre Jornada Formativa Verano 2025</t>
    </r>
  </si>
  <si>
    <t>Técnicos regionales y distritales</t>
  </si>
  <si>
    <t>17 y 20/10/2025 vespertino</t>
  </si>
  <si>
    <t>Acompañamiento a docentes en la implementación de las guías de secuencias didácticas de las áreas.</t>
  </si>
  <si>
    <t>Fortalecer la implementación del Programa CONBASE</t>
  </si>
  <si>
    <t>Grimilda Pascual</t>
  </si>
  <si>
    <r>
      <t>Capacitación continua en didáctica de la enseñanza del programa CON BASE en Lengua Española y Matemática para técnicos nacionales, regionales y distritales de</t>
    </r>
    <r>
      <rPr>
        <b/>
        <sz val="12"/>
        <color theme="1"/>
        <rFont val="Times New Roman"/>
        <family val="1"/>
        <charset val="1"/>
      </rPr>
      <t xml:space="preserve"> nuevo ingreso</t>
    </r>
    <r>
      <rPr>
        <sz val="12"/>
        <color theme="1"/>
        <rFont val="Times New Roman"/>
        <family val="1"/>
        <charset val="1"/>
      </rPr>
      <t>.</t>
    </r>
  </si>
  <si>
    <t>Técnicos distritales</t>
  </si>
  <si>
    <t>3 al 7 y del 18 al 21 noviembre</t>
  </si>
  <si>
    <t>Capacitación presencial en contexto nacional en didáctica de las áreas Lengua Española, Matemática, Ciencias Sociales y Ciencias de la Naturaleza.</t>
  </si>
  <si>
    <t>Fortalecer la implementación del Programa CONBASE. Establecer programa integral para los aprendizajes de los estudiantes en el segundo ciclo del Nivel Primario )Programa CRECE Primaria)</t>
  </si>
  <si>
    <t>Equipo del 2do. ciclo NP</t>
  </si>
  <si>
    <t>Del 21 al 24/10/2025</t>
  </si>
  <si>
    <t>Encuentro Virtual  con técnicos del nivel primario de los distritos educativos de la Regional 15.</t>
  </si>
  <si>
    <t>Socalizar los resultados de la evaluacion diagnostica de ciencias de naturaleza del nivel primario y programar las acciones del trimestre octubre-diciembre 2025.</t>
  </si>
  <si>
    <t>Josefina Figuereo</t>
  </si>
  <si>
    <t>10 Tecnicos Distritales</t>
  </si>
  <si>
    <t>Acompañamientos al técnico distrital en su labor técnica con docentes de la regional 15 del nivel primario, a la aplicación de las secuencias didácticas</t>
  </si>
  <si>
    <t>Mejorar la comprensión de los procesos científicos básicos. Para mejorar los resultados de las pruebas diagnósticas muestran que solo el 48% de los estudiantes logra identificar correctamente los pasos del método científico.</t>
  </si>
  <si>
    <t>Técnicos, docentes y estudiantes del segundo ciclo del nivel primario.</t>
  </si>
  <si>
    <t>Premiación a estudiantes ganadores de la olimpiada Regional del segundo ciclo del nivel primario, en ciencias de la naturaleza.</t>
  </si>
  <si>
    <t>Realizar la Premiación de los estudiantes ganadores y reconocimiento a los participantes. en la olimpíada regional de ciencias de la naturaleza.</t>
  </si>
  <si>
    <t xml:space="preserve"> 30 personas, tecnicos, estudiantes y padres.</t>
  </si>
  <si>
    <r>
      <rPr>
        <sz val="11"/>
        <color rgb="FF000000"/>
        <rFont val="Aptos Display"/>
        <scheme val="major"/>
      </rPr>
      <t xml:space="preserve">Realizar el 13 el décimo tercero Rally Regional, histórico cultural y recreativo en noviembre. </t>
    </r>
    <r>
      <rPr>
        <sz val="10"/>
        <color rgb="FF000000"/>
        <rFont val="Aptos Display"/>
        <scheme val="major"/>
      </rPr>
      <t xml:space="preserve">   
</t>
    </r>
  </si>
  <si>
    <t xml:space="preserve">Realizar  con estudiantes de los 6 distrito educativo de la regional 15 el 12 el décimo tercero Rally Regional, histórico cultural y recreativo en noviembre, con la partcipacion de los niveles primaria y secundaria . </t>
  </si>
  <si>
    <t>Juana Fernández</t>
  </si>
  <si>
    <t xml:space="preserve">96 Estudiantes  29 tecnico s regional y distritales y  Docentes </t>
  </si>
  <si>
    <t>Acompañamiento implementación secuencias didácticas del l area ciencias Sociales en el Segundo Ciclo</t>
  </si>
  <si>
    <t xml:space="preserve">continuar acompañando en la imprementacion de la secuencia didactica </t>
  </si>
  <si>
    <t>Dar seguimiento al equipo técnico distrital  en el acompañamiento a las  prácticas áulicas en el uso de las metodologías activas.</t>
  </si>
  <si>
    <t>Equipo del NP</t>
  </si>
  <si>
    <r>
      <rPr>
        <sz val="11"/>
        <color rgb="FF000000"/>
        <rFont val="Aptos Display"/>
        <scheme val="major"/>
      </rPr>
      <t>Motivar el uso adecuado de materiales didácticos que promuevan aprendizajes significativos para el logro de pensamiento lógico, crítico y analítico</t>
    </r>
    <r>
      <rPr>
        <sz val="10"/>
        <color rgb="FF000000"/>
        <rFont val="Symbol"/>
      </rPr>
      <t xml:space="preserve">. </t>
    </r>
  </si>
  <si>
    <t>Griselda Tejada</t>
  </si>
  <si>
    <t xml:space="preserve">Encuentro de analisis  de los resultados de la Evaluaciòn Diagnòstica.y elaboracion de planes de acciòn 
</t>
  </si>
  <si>
    <t>Realizar encuentro formativo para presentar y analizar los resultados de la evalucion diagnostica y de seguimiento, elaborar y validar los planes de mejoras con tecnicos nacionales, regionales y distritales del Nivel Primario.</t>
  </si>
  <si>
    <t>Tècnicos coordinadores distritales , Regionales y Nacionales.</t>
  </si>
  <si>
    <t>Acompañamiento y Seguimiento a la implementacion de las secuencias didacticas, protocolo de transiciòn y evaluaciòn de seguimiento.</t>
  </si>
  <si>
    <t>Realizar acompañamiento a docentes y equipos de gestion en la implementaciòn de las guìas de Secuencias didàcticas de Lengua Española , Matemàtica y Multigrados .</t>
  </si>
  <si>
    <t>Tecnicos distritales, regionales, equipos de gestion y docentes.</t>
  </si>
  <si>
    <t>Acompañamiento a la implementacion del Plan Nacional de Reduccion de Sobreedad.</t>
  </si>
  <si>
    <t>Realizar acompañamiento y seguiemiento al plan de Reduccion de la sobredad Escolar.</t>
  </si>
  <si>
    <t>Carmen Nova</t>
  </si>
  <si>
    <t>Encuentro de socializaciòn del area de lengua Espaòla del año escolar 2025, 2026</t>
  </si>
  <si>
    <t>Desarrollar encuentro  presencial y virtual para socializar las acciones  del area de Lengua española para el  año escolar 2025, 2026 con tècnicos  regionales y distritales.</t>
  </si>
  <si>
    <t>Viviana Ortiz</t>
  </si>
  <si>
    <t>tècnicos regionales y distritales.</t>
  </si>
  <si>
    <t xml:space="preserve">Acompañamiento y seguimiento  </t>
  </si>
  <si>
    <t>Dar Seguimiento a los Programas de Animaciòn a la lectura en los seis distritos de la regional , los 15 minutos de Lectura, Puntos de lectura  Concurso de cuentos infanties en el segudo ciclo y otros Programas.</t>
  </si>
  <si>
    <t>Tecnicos distritales, regionales, equipos de gestiòn y docentes.</t>
  </si>
  <si>
    <t>Encuentro virtual de socializaciòn y orientacion  de  las olimpiadas de matemàtica.</t>
  </si>
  <si>
    <t>Realizar encuetro de socializaciòn y orientaciòn de las acciones a  ejecutar en  el trimestre  0ctubre/ Diciembre las olimpiadas de matemàtica con tècnicos distritales y regionales encargados del àrea.</t>
  </si>
  <si>
    <t>Wendy García</t>
  </si>
  <si>
    <t>Tñecnicos regionales y distritales.</t>
  </si>
  <si>
    <t>Acompañamiento y seguimiento a las olimpiadas de matemàtica.</t>
  </si>
  <si>
    <t>Acompañar y dar seguimiento a las olimpiadas Nacional de matemàtica en su etapa de centros educativos.</t>
  </si>
  <si>
    <t>Tñecnicos regionales y distritales, equipo de gestiòn y docentes.</t>
  </si>
  <si>
    <t>Acompañamiento a las formaciones en los grupos pedagògicos .</t>
  </si>
  <si>
    <t xml:space="preserve">Acompañar los  procesos formativos sobre las secuencias didàcticas  en grupos  pedagògicos  junto al tècnico distrital. </t>
  </si>
  <si>
    <t>Tecnicos regionales, distritales , coordinadores pedagògicos y docentes.</t>
  </si>
  <si>
    <t>Nivel Secundario</t>
  </si>
  <si>
    <t>Facilitación de comunidades de aprendizaje con equipos regionales y distritales para el fortalecimiento de conocimientos sobre normativas y adecuación curricular del Nivel Secundario.</t>
  </si>
  <si>
    <t xml:space="preserve">Realizar  comunidades de aprendizajes con equipo regional y distrital para fortalecer los conocimientos en las nuevas normativas y  adecuación curricular del Nivel Secundario. 8 horas. </t>
  </si>
  <si>
    <t xml:space="preserve">Equipo técnico regional. Coordinadores distritales y encargados de áreas curriculares. </t>
  </si>
  <si>
    <t>Por determinar cantidad a impactar. Se está actualizando con las acciones Secundaria Avanza. El grado de responsabilidad de las actividades del trimestre serán coordinadas en conjunto con el equipo, coordinados por Ryde Acosta. Coord. Curricular.</t>
  </si>
  <si>
    <t>Seguimiento a las orientaciones de la jornada de verano del Nivel Secundario en todas sus etapas.</t>
  </si>
  <si>
    <t xml:space="preserve">Dar seguimiento a las orientaciones de la jornada de verano del Nivel Secundario en todas sus etapas. </t>
  </si>
  <si>
    <t>Equipo técnico regional. Coordinadores distritales y encargados de áreas curriculares. 12</t>
  </si>
  <si>
    <t>Seguimiento y monitoreo de la implementación de salidas optativas y programas en el Nivel Secundario.</t>
  </si>
  <si>
    <r>
      <t>Dar ar seguimiento y monitoreo a la implementación de las salidas optativas,</t>
    </r>
    <r>
      <rPr>
        <b/>
        <sz val="11"/>
        <color theme="1"/>
        <rFont val="Aptos Narrow"/>
        <family val="2"/>
        <scheme val="minor"/>
      </rPr>
      <t xml:space="preserve"> programas.</t>
    </r>
  </si>
  <si>
    <t>Encargados de programas regionales y distritales. 12</t>
  </si>
  <si>
    <t>Seguimiento a encuentros de orientación y jornadas de profundización dirigidas a técnicos distritales y equipos de gestión del primer y segundo ciclo del Nivel Secundario. Supervisión del uso y manejo del registro de grado.</t>
  </si>
  <si>
    <t xml:space="preserve">Realizar seguimientos a los encuentros de orientación y jornadas de profundización   a técnicos distritales, y equipos de gestión de primer y segundo ciclo del Nivel secundario. Dar seguimiento al uso y manejo de registro de grado.   </t>
  </si>
  <si>
    <t>Técnicos distritales. Equipo de gestión. 29</t>
  </si>
  <si>
    <t>Coordinación de acciones mediante reuniones con equipos regionales y distritales del Nivel Secundario.</t>
  </si>
  <si>
    <t xml:space="preserve">Realizar reuniones de coordinación de acciones con el equipo regional y distrital del Nivel Secundario. </t>
  </si>
  <si>
    <t>Equipo regional y distrial de Secundaria. 25</t>
  </si>
  <si>
    <t>Acompañamiento focalizado a la gestión institucional y pedagógica en centros educativos del Nivel Secundario y centros de Primaria con grados de Secundaria.</t>
  </si>
  <si>
    <t>Realizar acompañamiento focalizado a la gestión institucional y pedagógica en los centros educativos del Nivel Secundario,  centrros de primaria con grados de secundaria.</t>
  </si>
  <si>
    <t>Equipo de gestión de centros educativos. Docentes áreas pruebas nacionales. 12</t>
  </si>
  <si>
    <t>Apoyo y seguimiento a las actividades desarrolladas en las áreas curriculares del Nivel Secundario.</t>
  </si>
  <si>
    <t>Dar apoyo y seguimiento a las diferentes actividades realizadas en las áreas curriculares del Nivel Secundario.</t>
  </si>
  <si>
    <t>Atención a eventualidades del Nivel Secundario y respuesta a convocatorias de instituciones externas.</t>
  </si>
  <si>
    <t>Brindar atención a eventualidades presentadas en el Nivel Secundario y dar respuesta a convocatorias de instituciones externas.</t>
  </si>
  <si>
    <t>Encuentro reflexivo con técnicos regionales y coordinadores distritales del Nivel Secundario para evaluar los procesos realizados durante el año escolar (duración: 4 horas).</t>
  </si>
  <si>
    <t>Realizar encuentro reflexivo con los tecnicos regionales del nivel secunadario y coordinadores distritales del nivel secundario a los fines de evaluar los procesos realizados durante el año escolar. 4 horas.</t>
  </si>
  <si>
    <t>Nivel Secundario/ Lengua Española</t>
  </si>
  <si>
    <t>Encuentro para orientar de manera presencial en contexto  a  técnicos distritales donde participan  4 regionales y 23 distritales, sobre lineamientos y normativas de los procesos pedagógicos: Adecuación curricular y pautas orientadoras para el año escolar 2025-2026</t>
  </si>
  <si>
    <t>Realizar encuentro para orientar de manera presencial en contexto  a  técnicos distritales donde participan  4 regionales y 23 distritales, sobre lineamientos y normativas de los procesos pedagógicos: Adecuación curricular y pautas orientadoras para el año escolar 2025-2026</t>
  </si>
  <si>
    <t>Dolores Segura</t>
  </si>
  <si>
    <t xml:space="preserve">2 tecnicos regionales </t>
  </si>
  <si>
    <t>La reunión se realiza en conjunto tanto el nivel primario y secundario, este año se hizo con el nivel secundario.</t>
  </si>
  <si>
    <t>Monitoreo y acompañamiento a la implementacion de la Iniciativa (Periódico escolar y Leo, Comprendo e Involucro) en su desarrollo.</t>
  </si>
  <si>
    <t>Realizar monitoreo y acompañamiento a la implementacion de la Iniciativa  de  en el Área de Lengua Española en el Nivel Secundario.</t>
  </si>
  <si>
    <t>Rosanny Aponte</t>
  </si>
  <si>
    <t xml:space="preserve">                                         </t>
  </si>
  <si>
    <t>En Proceso</t>
  </si>
  <si>
    <t>Se le da seguimiento a técnicos distritales  con los docentes en la implementación de las secuencias didacticas y el desarrollo planes en proyectos orientados a los programas de fomento de la lectura ( Careos Escolares y Club de Lectura)</t>
  </si>
  <si>
    <t>Realizar monitoreo y acompañamiento de 4 técnicos regionales a los técnicos distritales y docente del área de Lengua Española, de el Nivel  Primario y Secundario, en el desarrollo de planificaciones y prácticas aulicas y  actividades orientada, de proyectos, planes  y programas de  Lectura y Escritura en Centros Educativos de los 6 distritos educativos.Área de Lengua Española.</t>
  </si>
  <si>
    <t> 4 técnicos regionales      23 técnicos distritalles</t>
  </si>
  <si>
    <t> </t>
  </si>
  <si>
    <t>Se recoce a 35 estudiantes que participaron en el Concurso Nacional de Oratoria ( CONAORA) con premios metales y certificados.</t>
  </si>
  <si>
    <t>Realizar reconocimiento a estudiantes participantes en el Concurso  Nacional de Oratoria,  3era etapa (Regional) Nivel Secundario, Presencial. 4 horas Área de Lengua Española</t>
  </si>
  <si>
    <t>2 técnicos regionales      13 técnicos distritalles</t>
  </si>
  <si>
    <t>La actividad es para reconocer un total 96  estudiantes con certificados y premios metales 5 estudiantes de categorias (A, B, C y D) con la mas alta calificaciones en 1er, 2do, 3ero y dos menciones con placas y medallas  participantes en Olimpiada Nacional de Lectura y Escritura (ONALE)</t>
  </si>
  <si>
    <t>Realizar reconocimientos a estudiantes  participantes en la Olimpiada Nacional de Lectura y Escritura, 3era etapa (Regional)    Presencial. Dia completo. 4 horas  Área de Lengua Española</t>
  </si>
  <si>
    <t>4 técnicos regionales      23 técnicos distritalles</t>
  </si>
  <si>
    <t>Nivel Secundario/Matemáticas</t>
  </si>
  <si>
    <t>Encuentro con técnicos del área de Matemáticas del Nivel Primario y Secundario, para socializar las acciones a desarrollar durante el año escolar 2025-2026, con la participación de 17 Técnicos distritales y 2 regional</t>
  </si>
  <si>
    <t>Realizar encuentro con técnicos del área de Matemáticas del Nivel Primario y Secundario, para socializar las acciones a desarrollar durante el año escolar 2024-2025, con la participación de 17 Técnicos distritales y 2 regional</t>
  </si>
  <si>
    <t>Arelis Manzueta</t>
  </si>
  <si>
    <t>17 técnicos distritales y 2 regionales.</t>
  </si>
  <si>
    <t>Realizacion de  Coacompañamiento y monitoreo a Tecnicos distritales en la  gestion pedagogica de los centros educativo , sobre la aplicación de la secuencias didacticas del area de Matematica  del nivel  Secundario.36  por trimestre .</t>
  </si>
  <si>
    <t>Realizar  Coacompañamiento y monitoreo a Tecnicos distritales en la  la gestion pedagogica de los centros educativo , sobre la aplicación de la secuencias didacticas del area de Matematica  del nivel  Secundario.36  por trimestre .</t>
  </si>
  <si>
    <t>Un  técnico regional.</t>
  </si>
  <si>
    <t xml:space="preserve">6 de 18 </t>
  </si>
  <si>
    <t>Faltan 12 coampañaminento. 1/10/2025     al 15/12/2025</t>
  </si>
  <si>
    <t>Realización monitoreo y acompañamiento al desarrollo de la olimpiada en la etapa de centros educativos con la participación de 12 técnicos regionales en el área de matemática de ambos niveles</t>
  </si>
  <si>
    <t xml:space="preserve">Realizar monitoreo y acompañamiento al desarrollo de la olimpiada en la etapa de centros educativos con la participación de 12 técnicos regionales en el área de matemática de ambos niveles </t>
  </si>
  <si>
    <t>9 técnicos regionales en el área de matemática de ambos niveles . 21,027 estudiantes y Comunidad Educativa</t>
  </si>
  <si>
    <t>21/11 al 26/11/2024</t>
  </si>
  <si>
    <t>Encuentro de  socialización con 17 técnicos distritales y 2 regionales para valorar y unificar los ítems que serán aplicados en los exámenes de la Olimpiada de Matemáticas en el nivel primario y secundario, abarcando tanto la etapa de centro como la distrital. Durante esta actividad, se revisarán y validarán los ítems con base en criterios de pertinencia, claridad, nivel de dificultad y alineación curricular, garantizando su coherencia entre ambas etapas.</t>
  </si>
  <si>
    <t>Realizar socialización con 17 técnicos distritales y 2 regionales para valorar y unificar los ítems que serán aplicados en los exámenes de la Olimpiada de Matemáticas en el nivel primario y secundario, abarcando tanto la etapa de centro como la distrital. Durante esta actividad, se revisarán y validarán los ítems con base en criterios de pertinencia, claridad, nivel de dificultad y alineación curricular, garantizando su coherencia entre ambas etapas.</t>
  </si>
  <si>
    <t xml:space="preserve">2 técnicos regionales en el área de matemática de ambos niveles . Y 17 tecnicos distritales  </t>
  </si>
  <si>
    <t xml:space="preserve">Realizar encuentro de socializacion sobre los resultados obtenidos en la olimpiada de centros, distrital y regional  en el area de matematica del Nivel Primario y Secundario con la participacion de 17 tecnicos distritales y dos tecnicos regional </t>
  </si>
  <si>
    <t xml:space="preserve">Realizar la premiación con reconocimientos  a estudiantes ganadores  de la olimpiada regional  de matemática , participación de 18 estudiantes, 17 técnicos distritales , 3 técnicos regional y 22 docentes y padres </t>
  </si>
  <si>
    <t xml:space="preserve">3 técnicos regionales  ambos niveles , 17 tecnicos distritales y 22 docentes y padres   </t>
  </si>
  <si>
    <t>Nivel Secundario/Ciencias Sociales</t>
  </si>
  <si>
    <t>Taller Post Modelo de lideres regional.</t>
  </si>
  <si>
    <t>Realizar taller Post Modelo de lideres regional, impactando 120 estudiantes, 18 tècnicos distritales, 5 tècnicos regionales, 5 asesores y 20 docentes.</t>
  </si>
  <si>
    <t xml:space="preserve">Juana Fernández </t>
  </si>
  <si>
    <t>120 estudiantes             18 tècnicos distritales  5 tècnicos regionales    5 asesores                           20 docentes</t>
  </si>
  <si>
    <t xml:space="preserve">Acompañamiento </t>
  </si>
  <si>
    <t>Realizar acompañamiento a los tècnicos distritales en la realizacion de Comunidades de Aprendizajes o grupos pedagogicos en los centros educativos.</t>
  </si>
  <si>
    <t>Xiomaris Leader</t>
  </si>
  <si>
    <t>Realizar acompañamiento a los procesos pedagogicos aulicos, junto a tècnicos de Ciencias Sociales para la supervisiòn y realizaciòn de plan de mejora del àrea.</t>
  </si>
  <si>
    <t xml:space="preserve">Xiomaris Leader </t>
  </si>
  <si>
    <t xml:space="preserve">Monitoreo y seguimiento </t>
  </si>
  <si>
    <t>Realizar monitoreo y seguimiento a tècnicos distritales en su pràctica pedagògica àulica en el àrea de Ciencias Sociales. En los niveles primario y secundario a los 6 distritos.</t>
  </si>
  <si>
    <t>Nivel Secundario/Ciencias Naturales</t>
  </si>
  <si>
    <t>Realizar congreso estudiantil con 40 estudiantes de ciencias naturales, y 10 técnicos nacionales, regionales y distritales</t>
  </si>
  <si>
    <r>
      <rPr>
        <sz val="11"/>
        <color rgb="FF000000"/>
        <rFont val="Aptos Narrow"/>
        <scheme val="minor"/>
      </rPr>
      <t>Promover un espacio de intercambio académico, científico y formativo entre estudiantes del nivel secundario con el fin de fortalecer las competencias</t>
    </r>
    <r>
      <rPr>
        <b/>
        <sz val="11"/>
        <color rgb="FF000000"/>
        <rFont val="Aptos Narrow"/>
        <scheme val="minor"/>
      </rPr>
      <t xml:space="preserve"> </t>
    </r>
    <r>
      <rPr>
        <sz val="11"/>
        <color rgb="FF000000"/>
        <rFont val="Aptos Narrow"/>
        <scheme val="minor"/>
      </rPr>
      <t>científicas</t>
    </r>
    <r>
      <rPr>
        <b/>
        <sz val="11"/>
        <color rgb="FF000000"/>
        <rFont val="Aptos Narrow"/>
        <scheme val="minor"/>
      </rPr>
      <t xml:space="preserve">, </t>
    </r>
    <r>
      <rPr>
        <sz val="11"/>
        <color rgb="FF000000"/>
        <rFont val="Aptos Narrow"/>
        <scheme val="minor"/>
      </rPr>
      <t>investigativas y pedagógicas fomentando el pensamiento crítico y la</t>
    </r>
    <r>
      <rPr>
        <b/>
        <sz val="11"/>
        <color rgb="FF000000"/>
        <rFont val="Aptos Narrow"/>
        <scheme val="minor"/>
      </rPr>
      <t xml:space="preserve"> </t>
    </r>
    <r>
      <rPr>
        <sz val="11"/>
        <color rgb="FF000000"/>
        <rFont val="Aptos Narrow"/>
        <scheme val="minor"/>
      </rPr>
      <t>innovación educativa</t>
    </r>
  </si>
  <si>
    <t>Camila Fulcar</t>
  </si>
  <si>
    <t>40 Estudiantes            10 técnicos nacionales, regionales y distritales</t>
  </si>
  <si>
    <t>Realizar Rally ecológico y cultural de la regional, con la participación de 120 estudiantes y el apoyo de 30 técnicos regionales y distritales.</t>
  </si>
  <si>
    <t>Promover en los estudiantes una actitud positiva a fin de valorar y ejecutar acciones que ayuden a mantener el equilibrio ecológico en la naturaleza.</t>
  </si>
  <si>
    <t>120 estudianes            30 técnicos regionales y distritales.</t>
  </si>
  <si>
    <t>Comunidad de aprendizaje con técnicos distritales y docentes.</t>
  </si>
  <si>
    <t>Compartir experiencia e intercambio de ideas entre el equipo tecnico para la planificacion del taller  del uso de instrumento de laboratorio con docentes.</t>
  </si>
  <si>
    <t>12 técnicos distritales 3 docentes</t>
  </si>
  <si>
    <t>Realizar Monitoreo a los acompañamientos realizados por técnicos distritales con docentes de ciencias de la naturaleza y la implementación del currículo en la modalidad académica</t>
  </si>
  <si>
    <t>Dar seguimiento y monitoreo a los procesos pedagogicos para fortalecer  el desarrollo de la competencia cientifica y tecnologica en los estudiantes.</t>
  </si>
  <si>
    <t>12 Aconpañamientos</t>
  </si>
  <si>
    <t>Realizar un taller con 35 docentes  de ciencias naturaleza del nivel secundario para el uso de instrumentos y equipos de laboratorio</t>
  </si>
  <si>
    <t>Fortalecer los conocimientos en los docentes para el desarrollo de las competencias para el diseño de las estrategias con actividades practicas utilizando los equipos de laboratorios.</t>
  </si>
  <si>
    <t>35 docentes</t>
  </si>
  <si>
    <t>Realizar un Taller con  30 docentes de enseñanza de la ciencia integrada a la robótica .</t>
  </si>
  <si>
    <t>Fortalecer los conocimientos en los docentes para la realización de actividades utilizando los recursos de robotica en area de ciencias de  la naturaleza.</t>
  </si>
  <si>
    <t>30 docentes</t>
  </si>
  <si>
    <t>Encuentro con la participación de 12 técnicos distritales y dos regionales para la coordinacion del Rally ecológico.</t>
  </si>
  <si>
    <t>Coordinar la organizacion   con técnicos distritales del área de Ciencias de la naturaleza para la realizacion del rally ecologico y cultural</t>
  </si>
  <si>
    <t>12 tecnicos distrtales</t>
  </si>
  <si>
    <t>Nivel Secundario/Técnico Profesional</t>
  </si>
  <si>
    <t>Realizar 1 talleres de capacitaciones, para fortalecer la gestión institucional  y pedagógica, con la participación de 64 docentes,  35 Directores, 35coordinadores y 12 técnicos distritales y regionales. En la modalidad Técnico Profesional, en un formato  presencial.</t>
  </si>
  <si>
    <t>Capacitacion para fortalecer la gestion institucional y pedagogica de los centros en la modalidad tecnico profesional.</t>
  </si>
  <si>
    <t>Luz del Alba Pastor y Nathalie Cabrera</t>
  </si>
  <si>
    <t>Realizar  12 acompañamientos a los 6 técnicos distritales de la modalidad técnico profesional con mira a socializar los hallazgos encontrados en los centros para pautar la mejoras  necesarias. Participan dos técnicos regional.</t>
  </si>
  <si>
    <t>Acompañar a los enlaces distritales para socializar los hallzgos encontardos en los polietcnicos y pauatr un plan de mejora</t>
  </si>
  <si>
    <t>Realizar 72 acompañamientos  a 35 centros educativos de la modalidad técnico profesional públicos con la participación de 7 técnicos regionales, para fortalecer la gestión curricular en procura de la  mejora de los aprendizajes de los estudiantes..</t>
  </si>
  <si>
    <t>Acompa;ar a los polietcnicos para fortalecer la gestion curricular en procura de la mejora de los aprendizajes.</t>
  </si>
  <si>
    <t>Realizar 12 acompañamientos a los 35 vinculadores de los centros de modalidad tecnico profesional para la mejora de la insercion de los estudiantes en los modulos formativos en los centros de trabajo. Con la participacion de 2 tecnicos regional</t>
  </si>
  <si>
    <t>Acompa;ar a los vinculadores de los politacnicos par la mejora de la insercion de los estudiantes en el modulo formativo en centros de trabajo</t>
  </si>
  <si>
    <t>Realizar 10 visitas de acompañamiento a distritos y centros educativos con miras a apoyar, intervenir y resolver casos o situaciones emergentes de tecnico profesional.</t>
  </si>
  <si>
    <t>Acompa;ar a los distritales para apoyar intervenir y resolver situaciones que se presente en los politecnicos.</t>
  </si>
  <si>
    <t>Realizacion de 5 acompañamiento a los programas de impacto organizados y conducidos por la direccion de educacion tecnico profesional. Acompañados de dos tecnicos regionales.</t>
  </si>
  <si>
    <t>Acompa;ar a los tecnicos nacionales en los programas de impacto coordinados desde el departamento de educacion tecnico profesioanl</t>
  </si>
  <si>
    <t>Realizar 1 comunidades de aprendizaje con 12 técnicos regionales, distritales y nacionales, con mira a la mejora de nuestro desempeño los cuales influyen de manera directa o indirecta en los aprendizaje de los estudiantes</t>
  </si>
  <si>
    <t>Desarrollar comunidades de aprendizaje para socializra los nuevos lineamientos desde el DETP</t>
  </si>
  <si>
    <t>Realizar 1 encuentros para socializar y coordinar las acciones a ser realizadas en este año escolar 2024-2025. Con la participación de 10 técnicos distritales, 2 regional y 2 nacional de la modalidad técnico profesional.</t>
  </si>
  <si>
    <t>Nivel Secundario/FIHR</t>
  </si>
  <si>
    <t>Acompañamiento y seguimiento a los técnicos distritales de FIHR</t>
  </si>
  <si>
    <t>Fortalecer el acompañamiento técnico y el seguimiento de acuerdos en el área FIHR.</t>
  </si>
  <si>
    <t>Ana Adón</t>
  </si>
  <si>
    <t>15 acompañamientos</t>
  </si>
  <si>
    <t>Monitoreo y seguimiento a la realización de la Olimpiada Bíblica (etapas)primaria</t>
  </si>
  <si>
    <t>Garantizar la ejecución y calidad de las etapas de la Olimpiada Bíblica.</t>
  </si>
  <si>
    <t>6 monitoreos</t>
  </si>
  <si>
    <t>Monitoreo y seguimiento complementario a la Olimpiada Bíblica/secundaria</t>
  </si>
  <si>
    <t>Asegurar el soporte organizativo y el cumplimiento de orientaciones en las etapas.</t>
  </si>
  <si>
    <t xml:space="preserve"> 6 acompañamientos</t>
  </si>
  <si>
    <t>Monitoreo, acompañamiento y seguimiento a la práctica docente de FIHR</t>
  </si>
  <si>
    <t>Mejorar la práctica pedagógica mediante visitas áulicas y retroalimentación.</t>
  </si>
  <si>
    <t>12 visitas áulicas</t>
  </si>
  <si>
    <t>Encuentro Reflexivo de fin de año (Adviento y Navidad)</t>
  </si>
  <si>
    <t>Promover la vivencia espiritual de Adviento y Navidad en la comunidad educativa.</t>
  </si>
  <si>
    <t>85 participantes</t>
  </si>
  <si>
    <t>Encuentro Ecuménico Regional (reprogramado)</t>
  </si>
  <si>
    <t>Fortalecer el diálogo y la convivencia respetuosa entre comunidades de fe.</t>
  </si>
  <si>
    <t>100 participantes</t>
  </si>
  <si>
    <t>Encuentro Jubileo de la esperanza</t>
  </si>
  <si>
    <t>Fomentar en la comunidad educativa un espacio de reflexión, celebración y compromiso en torno al Jubileo de la Esperanza, fortaleciendo los valores cristianos, la unidad y la corresponsabilidad, con el fin de impulsar una cultura de paz, solidaridad y fe que inspire a los estudiantes, docentes y familias a vivir con esperanza y a proyectarla en el mundo educativo.</t>
  </si>
  <si>
    <t>500 participantes(docentes, estudiantes, tecnicos, directivos, padres)</t>
  </si>
  <si>
    <t>Reprogramado del trimestre anterior</t>
  </si>
  <si>
    <t>Encuentro de equipo técnico de FIHR</t>
  </si>
  <si>
    <t>socializar las actividades del trimestre y organizar los encuentros reflexivos de adviento-navidad.</t>
  </si>
  <si>
    <t>20 tecnicos distritales y 2 regionales.</t>
  </si>
  <si>
    <t xml:space="preserve">Planificado </t>
  </si>
  <si>
    <t xml:space="preserve">Nivel Secundario/Lenguas Extranjeras/ Inglés </t>
  </si>
  <si>
    <t>Taller de retroalimentacion curricular con Técnicos de inglés Primaria y Secundaria</t>
  </si>
  <si>
    <t>Socializar, organizar y coordinar acciones a ejecutar en el trimestre</t>
  </si>
  <si>
    <t>Yudelis Garcia Mejia</t>
  </si>
  <si>
    <t xml:space="preserve">Técnicos Distritales         Técnicos Regionales                                                                                                                                                                                                                             </t>
  </si>
  <si>
    <t>Realizar acompañamiento a centros y técnicos en acciones de desarrollo de actividades de impacto</t>
  </si>
  <si>
    <t>Orientar y motivar las buenas prácticas en el desarrollo de las diferentes actividades de impacto que se desarrollan en los centros educativos</t>
  </si>
  <si>
    <t xml:space="preserve">Yudelis Garcia Mejia </t>
  </si>
  <si>
    <t xml:space="preserve">Técnicos Distritales         Técnicos Regionales           Docente del área                                                                                                                                                                                                                         </t>
  </si>
  <si>
    <t xml:space="preserve">Realizar taller de capacitacón para orientar técnicos en el uso y manejo de  herramientas digitales </t>
  </si>
  <si>
    <t>Capacitar técnicos y docentes  en el uso y manejo de  herramientas digitales para que puedan ponerlas en ejecución en sus prácticas pedagógicas</t>
  </si>
  <si>
    <t xml:space="preserve">Acompañamiento a centros Educativos  de los diferentes distritos que desarrollan el programa bilingüe English for a Better Life </t>
  </si>
  <si>
    <t>Verificacion del nivel de avance de registro de los estudiantes y  de  la plataforma EF. Socialización con el equipo de gestión, docentes de inglés y dinamizadores TICS sobre la implementación del programa en el centro.</t>
  </si>
  <si>
    <t>Jornada de rendición de cuentas del Nivel Primario</t>
  </si>
  <si>
    <t xml:space="preserve">Socializar con los técnicos de los diferentes distritos los niveles de avances desarrollados durante el año fiscal </t>
  </si>
  <si>
    <t xml:space="preserve">Yudelis M. García Mejía </t>
  </si>
  <si>
    <t xml:space="preserve">Técnicos Distritales         Técnicos Regionales                                                                                                                                                                                                                                      </t>
  </si>
  <si>
    <t>Acompañamiento a técnicos y docentes en jornada de capacitación</t>
  </si>
  <si>
    <t>Acompañar y apoyar los procesos de capacitación de los diferentes técnicos y docentes del área</t>
  </si>
  <si>
    <t xml:space="preserve">Técnicos Distritales         Técnicos Regionales     Docentes del área                                                                                                                                                                                                                                  </t>
  </si>
  <si>
    <t xml:space="preserve">Nivel Secundario/Lenguas Extranjeras/ Ingles </t>
  </si>
  <si>
    <t>Jornada de rendición de cuentas del Nivel Primario y Secundario área de inglés</t>
  </si>
  <si>
    <t>Acompañamiento con técnicos distritales en centros educativos para seguimiento a los procesos pedagogicos en el área de inglés</t>
  </si>
  <si>
    <t>Acompañar y dar seguimiento a los técnicos en realización de los diferentes procesos pedagógicos centros, docentes</t>
  </si>
  <si>
    <t>Acompañamiento a centros educativos que realizan festivales, actividades y consursos inter escolares con motivo al mes de la canción escolar.</t>
  </si>
  <si>
    <t>Acompañar y dar seguimiento a los centros, docentes y estudiantes  que realizan diferentes actividades a lo interno de los diferentes centros educativos.</t>
  </si>
  <si>
    <t xml:space="preserve">Técnicos Distritales         Técnicos Regionales     Docentes del área       Estudiantes                                                                                                                                                                                                                           </t>
  </si>
  <si>
    <t>Realización Festival Regional de dramas en inglés Nivel Primario y Secundario</t>
  </si>
  <si>
    <t xml:space="preserve">Crear un espacio de motivación y  la vez incentivar el uso de lascompetencias comunicativas, desarrollo lógico, crítico y creativo a través de las artes dramaticas </t>
  </si>
  <si>
    <t xml:space="preserve">Nivel Secundario/Lenguas Extranjeras/ Francés </t>
  </si>
  <si>
    <t>Acompañamiento con técnicos distritales en centros educativos para seguimiento a los procesos pedagogicos en el área de Francés.</t>
  </si>
  <si>
    <t>Acompañar y dar seguimiento a los técnicos en realización de los diferentes procesos pedagógicos centros, docentes.</t>
  </si>
  <si>
    <t>Ydany Pascal</t>
  </si>
  <si>
    <t>Realizar Taller de Fonética Francesa con Técnicos y docentes del Nivel Secundario.</t>
  </si>
  <si>
    <t>Capacitar técnicos y docentes  en la fonética francesa para que puedan fortalecer sus funciones comunicaticas y  ejecutarlas en la práctica pedagógica.</t>
  </si>
  <si>
    <t>Realizar acompañamiento a centros y técnicos en acciones de desarrollo de actividades de impacto en Francés.</t>
  </si>
  <si>
    <t>Orientar y motivar las buenas prácticas en el desarrollo de las diferentes actividades de impacto que se desarrollan en los centros educativos.</t>
  </si>
  <si>
    <t>Acompañar y dar seguimiento a los centros, docentes y estudiantes  que realizan diferentes actividades áulicas del área.</t>
  </si>
  <si>
    <t>Acompañar y apoyar los procesos de capacitación de los diferentes técnicos y docentes del área.</t>
  </si>
  <si>
    <t>Realización Festival Regional de dramas en Francés Nivel  Secundario.</t>
  </si>
  <si>
    <t>Crear un espacio de motivacional en el que atraves de las diferentes manifestaciones del arte los alumnos pongan en evidencia la adquisicion de las competencias comunicativas de manera logica.</t>
  </si>
  <si>
    <t>Nivel Secundario/Educación Artistíca</t>
  </si>
  <si>
    <t>Participacion en la feria Del Libro</t>
  </si>
  <si>
    <t>Organizacion de traslado  de los estudiantes a la feria del Libro</t>
  </si>
  <si>
    <t>Santa de Paula</t>
  </si>
  <si>
    <t xml:space="preserve">participacion en la feria Del Libro </t>
  </si>
  <si>
    <t>Organizacion de traslado de los estudiantes de esucacion artistica y su presntacion</t>
  </si>
  <si>
    <t>12 estudiantes del centro fliceo Fe y Alegria de Pantoj distrito 15-01, 4 tecnicos Nacionales , un tecnico regional y un distrital</t>
  </si>
  <si>
    <t>Los estudiantes  se presentaron el el auditorio al aire libre, demostrando destresa y capacintacion danzaria al representar dignamente la regional 15 con una danza contemporania dedicada a las Hermanas Mirabal</t>
  </si>
  <si>
    <t>participacion en la feria Del Libro Centros Prepara</t>
  </si>
  <si>
    <t>Participacion en charlas y conferencias</t>
  </si>
  <si>
    <t xml:space="preserve">, Republica de Haity 60y  Anastacio Aragones,60  total 180 estudiantes  6 docentes </t>
  </si>
  <si>
    <t>los estudiantes de prepara . se integraron participando en el desarrollo de las ponencias, realizando preguntas adecuadas en los tallers literarios , con la escritora Olga Dias</t>
  </si>
  <si>
    <t>Presentacion del libro Reflexion de Un niño en la feria del libro</t>
  </si>
  <si>
    <t>abigail mejia adultos,Republica dominicana</t>
  </si>
  <si>
    <t xml:space="preserve">Subsistema de Adultos </t>
  </si>
  <si>
    <t xml:space="preserve">Organizar todo el proceso de alfabetizacion : socializar el diagnostico de alfebetizacion en la regional 15, Creacion de Nucleos de Aprendizajes, Capacitacion a los alfabetizadores (50). Seguimiento y monitoreo a los nucleos de alfebetizacion en los 6 distritos educativos.(10 )  </t>
  </si>
  <si>
    <t>Organizar tod en proceso de alfabetización: socializar el diagnostico de analfebetizmo en la regional 15, creacion de Nucleos de Aprendizajes, capacitacion a los alfabetizadores. Dar Seguimiento y monitoreo a los nucleos de alfebetizacion en los 6 distritos educativos.</t>
  </si>
  <si>
    <t xml:space="preserve">Maricela Guerrero </t>
  </si>
  <si>
    <t>Monitoreo y seguimiento a la implentacionde la planificacion y evaluacion de los aprendizajes  (10 minitoreo) y (un encuentro con 30 personas)</t>
  </si>
  <si>
    <t>Monitoreo y dar seguimiento al nivel de implementacion de la planificacion y evaluacion de los aprendizajes en basica PREPARA y escuelas laborales.</t>
  </si>
  <si>
    <t>Seguimiento al llenado de los Registros de Grado. (4)</t>
  </si>
  <si>
    <t>Dar seguimiento al llenado de los Registros de Grado en el Nivel Primario, Secundario y en las Escuelas Laborales</t>
  </si>
  <si>
    <t>Monitoreo y Seguimiento a la reorganizacion de los centros del Subsistema de Adultos (10)</t>
  </si>
  <si>
    <t>Monitorear y dar seguimiento al nivel de avance en la reorganizacion de los centros del Nivel Primario y  Secundario del Subsistema de Adultos</t>
  </si>
  <si>
    <t>Monitoreo a la asistencia en centros PREPARA (4)</t>
  </si>
  <si>
    <t>Realizar monitoreo a la asistencia en los centros PREPARA.</t>
  </si>
  <si>
    <t>Monitoreo al tecnico del distrito. (15)</t>
  </si>
  <si>
    <t xml:space="preserve">Realizar monitoreo sistemático al tecnico del distrito en los procesos pedagogicos y administrativos. </t>
  </si>
  <si>
    <t>Monitoreo a las asignaturas objeto de Pruebas Nacionales (10)</t>
  </si>
  <si>
    <t>Realizar monitoreo pedagógico con enfasis a las asignaturas objeto de Pruebas Nacionales.</t>
  </si>
  <si>
    <t>Monitoreo y seguimiento al tecnico del distrito. (20)</t>
  </si>
  <si>
    <t>Realizar monitoreo y seguimiento al técnico del distrito que acompaña los Centros Educativos del Nivel Primario, Secundario y Escuelas Laborales del Subsistema de Adultos</t>
  </si>
  <si>
    <t>Monitoreo a la implementacion del Curriculo (8)</t>
  </si>
  <si>
    <t>Realizar monitoreo en la implemantacion del Curriculo</t>
  </si>
  <si>
    <t>Acciones no programadas en el Subsistema de Adultos (19 ) y (encuentro con 20 personas)</t>
  </si>
  <si>
    <t>Realizar acciones no programadas en el Subsistema de Educación de Adultos y PREPARA y dar respuestas a convocatorias de instituciones externas.</t>
  </si>
  <si>
    <t>Validacion de expedientes de participantes que van a Pruebas Nacionales. (27)</t>
  </si>
  <si>
    <t>Realizar proceso de revision y validacion de los  expedientes de los participantes del Subsistema de Adultos y los que van a Pruebas Nacionales.</t>
  </si>
  <si>
    <t>2 técnicos regionales.             1 técnico distrital.           1 directora de centro.                                1 coordinadora pedagogica.</t>
  </si>
  <si>
    <t>Levantamiento de estudiantes que no tienen acta de nacimiento. (12)</t>
  </si>
  <si>
    <t>Realizar proceso de levantamiento de los estudiantes que no tienen acta de nacimiento.</t>
  </si>
  <si>
    <t>Revision de calificaciones de los dos ultimos años en centros del Subsistema de Adultos. (13)</t>
  </si>
  <si>
    <t>Realizar revision de calificaciones de los ultimos dos años en centros del Nivel Primario y Secundario del Subsistema de Adultos</t>
  </si>
  <si>
    <t>Jornada de orientacion al personal tecnico, directivo y docente de los centros educativos (12)</t>
  </si>
  <si>
    <t>Acompañar jornada de orientacion al personal tecnico , directivo, docente y secretarias docentes en relacion a la implementacion de la Adecuacion Curricular del Nivel Primario y en el Nivel Secundario para Personas Jóvenes y Adultos</t>
  </si>
  <si>
    <t xml:space="preserve">subsistema de Adultos </t>
  </si>
  <si>
    <t>Monitoreo y acompañamiento a las Escuelas Laborales, (6)</t>
  </si>
  <si>
    <t xml:space="preserve"> Desarrollar jornada de Monitoreo y acompañamiento a las Escuelas Laborales en el proceso de implementacion del Curriculo de la Ordenanza 03-2017 y sobre los procesos de gestion, para la evaluacion de la matricula y de la cantidad de cursos que se ofertan.</t>
  </si>
  <si>
    <t>Encuentro para evaluar el año escolar 2024-2025 y presentar memoria (22)</t>
  </si>
  <si>
    <t>Realizar encuentro con el equipo técnico distrital, para la evaluacion del año escolar 2024-2025 y presentacion de la memoria del con las diferentes acciones realizadas en el Subsistema de Adultos en los seis distritos educativos.</t>
  </si>
  <si>
    <t>1 técnico nacional.                1 diectora adjunta de distrito educativo.         3 tecnicos regionales.               11 tecnicos distritales. 1 colaborador.</t>
  </si>
  <si>
    <t xml:space="preserve">Planificado en el POA del trimestre pasado. Se ejecuto con el 100% de los convocados </t>
  </si>
  <si>
    <t xml:space="preserve">Planificación </t>
  </si>
  <si>
    <t>Realizar encuentros con distritos educativos para Elaborar el plan operativo 2026 de la Regional y los distritos educativos.</t>
  </si>
  <si>
    <t>Coordinar encuentros técnicos con los distritos educativos que permitan la formulación participativa, coherente y alineada a las políticas nacionales del Plan Operativo Anual 2026, asegurando la integración de las metas regionales y distritales.</t>
  </si>
  <si>
    <t xml:space="preserve">Pedro Duarte </t>
  </si>
  <si>
    <t xml:space="preserve">Tecnicos Distritales </t>
  </si>
  <si>
    <t>Participar en jornadas, talleres o encuentros realizados desde la unidad de planificación del MINERD</t>
  </si>
  <si>
    <t>Fortalecer las capacidades técnicas del equipo regional mediante la participación activa en jornadas, talleres y encuentros convocados por la Unidad de Planificación del MINERD, con el fin de aplicar las directrices institucionales en la gestión regional y distrital.</t>
  </si>
  <si>
    <t>N/A</t>
  </si>
  <si>
    <t>Socializar con los niveles, áreas y programas de la regional y los enlaces distritales de planificación los lineamientos para la formulación del POA 2026.</t>
  </si>
  <si>
    <t>Garantizar la comprensión y aplicación uniforme de los lineamientos nacionales de planificación, promoviendo la articulación entre los niveles, áreas y programas de la Regional y los distritos educativos en la elaboración del POA 2026.</t>
  </si>
  <si>
    <t>Tecnicos Regionales</t>
  </si>
  <si>
    <t>Diagramar y publicar la memoria 2025 de la Regional.</t>
  </si>
  <si>
    <t>Sistematizar y divulgar los principales logros, resultados e impactos de la gestión regional durante el año 2025, mediante la elaboración y publicación de la memoria anual, como instrumento de transparencia y rendición de cuentas.</t>
  </si>
  <si>
    <t xml:space="preserve">Socializar los resultados de los informes de monitoreo con las áreas responsables. </t>
  </si>
  <si>
    <t>Promover la mejora continua en la ejecución del POA regional mediante la retroalimentación de resultados de monitoreo con las áreas responsables, identificando avances, desafíos y acciones correctivas.</t>
  </si>
  <si>
    <t xml:space="preserve">Dar seguimiento y elaborar los informes de monitoreo de los Poas 2025 de la Regional. </t>
  </si>
  <si>
    <t>Supervisar el cumplimiento de las metas establecidas en el POA 2024 de la Regional, consolidando información técnica y estadística que permita la elaboración de informes de monitoreo precisos y oportunos.</t>
  </si>
  <si>
    <t>Asesorar y dar seguimiento al proceso de formulacion y  ejecución de los Poas de los distritos (Informes ejecutivos a los directores regionales y distritales).</t>
  </si>
  <si>
    <t>Brindar acompañamiento técnico y metodológico a los distritos educativos en la formulación y ejecución de sus POA, asegurando la coherencia con las prioridades institucionales y el reporte efectivo a las autoridades regionales.</t>
  </si>
  <si>
    <t>Realizar encuentros trimestrales con enlaces distritales de planificación para el seguimiento de la ejecución de los Planes Operativos Distritales y Centros Educativos.</t>
  </si>
  <si>
    <t>Mantener una coordinación permanente con los enlaces distritales de planificación, a través de reuniones trimestrales que faciliten el seguimiento a la ejecución de los planes operativos y el fortalecimiento de la gestión distrital.</t>
  </si>
  <si>
    <t>Realizar acompañamiento y supervisión a los POA de los Centros Educativos en el Monitoreo y carga al Sistema.</t>
  </si>
  <si>
    <t>Asegurar la correcta formulación, monitoreo y registro en el sistema institucional de los POA de los centros educativos, mediante procesos de acompañamiento técnico y supervisión directa.</t>
  </si>
  <si>
    <t>Tecnicos Distritales 
Directores/as Centros Educativos</t>
  </si>
  <si>
    <t xml:space="preserve">Realizar seguimiento a los Encuentros de seguimiento a la ejecución  de los fondos a juntas descentralizadas </t>
  </si>
  <si>
    <t>Monitorear la adecuada ejecución de los fondos asignados a las juntas descentralizadas, garantizando el uso eficiente y transparente de los recursos en función de las metas planificadas.</t>
  </si>
  <si>
    <t>Redactar informe de ejecucion fisica y economica del Plan Operativo Anual 2025</t>
  </si>
  <si>
    <t>Consolidar la información técnica, física y financiera correspondiente a la ejecución del POA 2025, elaborando un informe integral que sirva de base para la toma de decisiones y la rendición de cuentas institucional.</t>
  </si>
  <si>
    <t>Acompañar, coordinar y dar seguimiento a la elaboración del plan trimestral de cada área y nivel de los técnicos docentes regionales, garantizando la coherencia con los objetivos institucionales.</t>
  </si>
  <si>
    <t>Asegurar la planificación efectiva y articulada de las acciones de los técnicos docentes regionales, mediante un proceso de acompañamiento y coordinación que promueva la coherencia, pertinencia y alineación de los planes trimestrales con las metas y prioridades institucionales.</t>
  </si>
  <si>
    <t>Gladybel Lantigua</t>
  </si>
  <si>
    <t xml:space="preserve">Técnicos Regionales </t>
  </si>
  <si>
    <t>Realizar el seguimiento sistemático a la ejecución de las acciones contempladas en el plan trimestral, a fin de verificar el cumplimiento de los objetivos y metas establecidos.</t>
  </si>
  <si>
    <t>Garantizar la correcta implementación de las acciones establecidas en los planes trimestrales de los técnicos docentes regionales, mediante un proceso sistemático de monitoreo, acompañamiento y verificación de avances, que permita asegurar el cumplimiento de los objetivos institucionales.</t>
  </si>
  <si>
    <t>Elaborar el informe trimestral consolidado que refleje los avances, resultados y niveles de cumplimiento de los planes ejecutados por las áreas y niveles técnicos regionales.</t>
  </si>
  <si>
    <t>Consolidar y presentar de manera oportuna los resultados obtenidos durante el trimestre, evidenciando los logros, desafíos y niveles de cumplimiento de los planes ejecutados por las áreas y niveles, para apoyar la toma de decisiones y la mejora continua de la gestión regional.</t>
  </si>
  <si>
    <t>Sistematizar y elaborar la memoria técnico-pedagógica del año fiscal 2025, destacando los avances, buenas prácticas y oportunidades de mejora derivadas de la gestión técnica regional.</t>
  </si>
  <si>
    <t>Documentar y analizar de manera integral los resultados de la gestión técnico-pedagógica regional durante el año fiscal 2025, con el propósito de generar insumos que fortalezcan la planificación, la toma de decisiones y la mejora continua de los procesos educativos.</t>
  </si>
  <si>
    <t>Gestión de los Centros educativos monitoreada en sus procesos pedagógicos.
.</t>
  </si>
  <si>
    <t xml:space="preserve">Coordinar con el equipo técnico de Supervisión distrital la ejecución de la planificación y cronograma del Coordinador Docente en el proceso de acompañamiento áulico en noviembre.
</t>
  </si>
  <si>
    <t>Wendy Carrasco</t>
  </si>
  <si>
    <t>Supervisión Educativa</t>
  </si>
  <si>
    <t xml:space="preserve">Gestión de los Centros educativos monitoreada en sus procesos institucionales
</t>
  </si>
  <si>
    <t xml:space="preserve">Realizar supervisión a la gestión institucional: planificaciones, liderazgo de los directores y el equipo de gestión que contribuya con la calidad de los procesos y resultados.  (octubre-noviembre).
</t>
  </si>
  <si>
    <t xml:space="preserve">Demanda de seguimiento a casos referidos a cumplimiento de normativas, atendidas de manera oportuna.
</t>
  </si>
  <si>
    <t xml:space="preserve">Dar seguimiento a casos recibidos a través del libre acceso a la información y otros medios (octubre-diciembre).
</t>
  </si>
  <si>
    <t xml:space="preserve">Realizar supervisión, acompañamiento y seguimiento a los directores y/o equipo de gestión en los procesos pedagógicos y curriculares (octubre-noviembre).
</t>
  </si>
  <si>
    <t xml:space="preserve">Seguimiento a las asambleas de directores de centros educativos.
</t>
  </si>
  <si>
    <t xml:space="preserve">Dar seguimiento a las asambleas de directores de centros educativos para promover el liderazgo y fortalecimiento institucional (octubre-diciembre).
</t>
  </si>
  <si>
    <t xml:space="preserve">Gestión de los Centros educativos monitoreada en sus procesos administrativos y financieros
</t>
  </si>
  <si>
    <t xml:space="preserve">Realizar supervisión y monitoreo el proceso de conformación y funcionamiento de los organismos de participación y gestión en los centros y distritos educativos según los lineamientos establecidos (octubre). 
</t>
  </si>
  <si>
    <t xml:space="preserve">Gestión de los Centros educativos monitoreada en sus procesos pedagógicos 
</t>
  </si>
  <si>
    <t>Dar seguimiento a la elaboración y remisión de informes trimestrales sobre los procesos de gestión y logros pedagógicos y administrativos de los centros y distritos educativos, a la dirección de supervisión según corresponda (marzo, junio, septiembre, diciembre).</t>
  </si>
  <si>
    <t xml:space="preserve">Regional, Distritos y centros con buenas prácticas de gestión reconocidas y socializadas.
</t>
  </si>
  <si>
    <t xml:space="preserve">Participar de la celebración y galardón del Premio a la Calidad Educativa. (Noviembre).
</t>
  </si>
  <si>
    <t>Guadalupe Vásquez</t>
  </si>
  <si>
    <t xml:space="preserve">Centros educativos monitoreados e integrados al SISMAP Educación-Centros educativos.
</t>
  </si>
  <si>
    <t xml:space="preserve">Dar seguimiento al proceso de carga de evidencias por parte de los centros educativos según Indicadores Básicos de Organización de y de Gestión y Organización (IBOG) que corresponda.
</t>
  </si>
  <si>
    <t xml:space="preserve">Distritos y regionales educativas implementando Redes de Innovación y Calidad.
</t>
  </si>
  <si>
    <t xml:space="preserve">Dar seguimiento al funcionamiento de las REDIC.
</t>
  </si>
  <si>
    <t>Maridania Ramírez</t>
  </si>
  <si>
    <t xml:space="preserve">Participar en encuentros virtuales semanales
de las REDIC Junto a la SEDE, donde se reforzarán los conocimientos y compartir las experiencias.
</t>
  </si>
  <si>
    <t xml:space="preserve">Centros educativos, Distritos y Regionales participando en el Premio a la Calidad Educativa-PRECE- 2025.
</t>
  </si>
  <si>
    <t xml:space="preserve">Fase de seguimiento a centros participantes del PRECE, mes de octubre.
</t>
  </si>
  <si>
    <t>Seguimiento al PRECE.</t>
  </si>
  <si>
    <t>Encuentro de socialización del calendario PRECE 2026.</t>
  </si>
  <si>
    <t>Seguimiento al Marco común de Evaluación -CAF-.</t>
  </si>
  <si>
    <t>Dar seguimiento a los técnicos distritales en el proceso de autoevaluación CAF de Distritos y centros educativos.</t>
  </si>
  <si>
    <t xml:space="preserve">Centros educativos acompañados y monitoreados en la gestión a través de plataformas de Supervisión.
</t>
  </si>
  <si>
    <t>Acompañamiento y monitoreo a los centros  en la gestión pedagógica, adm., financiera y de resultados a través de la plataforma SIRASAG.</t>
  </si>
  <si>
    <t xml:space="preserve">Encuentro trimestral de supervisión presencial
</t>
  </si>
  <si>
    <t>Rendición de cuenta del trimestre: julio-septiembre y aspectos de mejora.</t>
  </si>
  <si>
    <t xml:space="preserve">Encuentro virtual de Supervisión.
</t>
  </si>
  <si>
    <t xml:space="preserve"> Socialización del plan trimestral octubre–diciembre 2025, con énfasis en el Marco Común de Evaluación (CAF). </t>
  </si>
  <si>
    <t>24 participantes; 4 técnicos regionales; 20  distritales de Superv.</t>
  </si>
  <si>
    <t>Seguimiento al PRECE 2025</t>
  </si>
  <si>
    <t>Participación en la gala del Premio a la Calidad Educativa 2025.</t>
  </si>
  <si>
    <t>Wendy Carrasco de A., técnica docente regional, coordinadora de Supervisión; y Guadalupe Vásquez, técnica docente regional, enc. CAF y PRECE.</t>
  </si>
  <si>
    <t xml:space="preserve">Evaluación de los Aprendizajes </t>
  </si>
  <si>
    <t xml:space="preserve">Realizar y revisar entrega de documentación en la sede del minerd de pruebas nacionales jurados entres otros </t>
  </si>
  <si>
    <t xml:space="preserve">Revisar y entregar en el departamento de pruebas los listados de los jurados aplicadores de la tercera convocatoria </t>
  </si>
  <si>
    <t>Yasafina Concepción</t>
  </si>
  <si>
    <t xml:space="preserve">100 participantes </t>
  </si>
  <si>
    <t xml:space="preserve">Se realizara  en noviembre  </t>
  </si>
  <si>
    <t xml:space="preserve">Realizar la validación de la matricula de los grados objetos de evaluación de pruebas nacionales en  los 6 distritos educativos dos  supervisión por distrito.  </t>
  </si>
  <si>
    <t xml:space="preserve">Acompañar a los tecncicos distritales en la validacion de matricula y expediente de estudiante objeto de pruebas nacioanales </t>
  </si>
  <si>
    <t xml:space="preserve">6 Técnicos distritales </t>
  </si>
  <si>
    <t xml:space="preserve">Realizar acompañamiento a los técnicos distritales en la resolución de casos presentados por diferentes vías. </t>
  </si>
  <si>
    <t xml:space="preserve">Realizar e investigar casos de estudiante de pruebas nacionales que se presente con  irregularidades, en los expedientes para tomar pruebas nacioanles </t>
  </si>
  <si>
    <t xml:space="preserve">4 técnicos                          1 técnico distrital          3 técnicos regionales </t>
  </si>
  <si>
    <t xml:space="preserve">Gestionar Apoyo logístico  para Búsqueda de documentación a pruebas Nacionales de la sede en los seis Distritos Educativos.  </t>
  </si>
  <si>
    <t xml:space="preserve">Apoyo para la busqueda de documentación actas de califiaciones de pruebas nacionales, entre otros </t>
  </si>
  <si>
    <t xml:space="preserve">1 técnico regional </t>
  </si>
  <si>
    <t xml:space="preserve">Realizar supervisión y acompañamiento a los técnicos distritales en la plataforma de pruebas nacionales en nivel secundario </t>
  </si>
  <si>
    <t xml:space="preserve">Acompañar a los técnicos distritales en la paltaforma de pruebas nacionales para verificar la digitación de nota de los estudiantes </t>
  </si>
  <si>
    <t xml:space="preserve">Esta actividad se realizo en el mes de septiembre </t>
  </si>
  <si>
    <t xml:space="preserve">Realizar monitoreo y supervisión a la pruebas nacionales, la modalidad académica, modalidad en Artes y tec. Profesional en la tercera convocatoria  del año 2025, con la participación de 30 técnicos regionales. (pago por asignatura) </t>
  </si>
  <si>
    <t xml:space="preserve">Acompañar en los centros sede a los coordinadores, en el proceso de la aplicación de la pruebas nacionales en  la   tercera convocatoria </t>
  </si>
  <si>
    <t xml:space="preserve">15 técncios regionales </t>
  </si>
  <si>
    <t>Se realizaran 13 y 14 de noviembre 2025,</t>
  </si>
  <si>
    <t xml:space="preserve">Realizar acompañamiento y supervisión a la  validación  de  la  inscripción  de  estudiantes  de 6to de secundaria  en el Sistema de Gestión (SIGERD)  en los 6 distritos. </t>
  </si>
  <si>
    <t xml:space="preserve">Gestionar apoyo logistico en la  3 convocatorias primera, segunda y tercera en el nivel secundario </t>
  </si>
  <si>
    <t xml:space="preserve">Apoyo para realizar  la entrega de la pruebas nacionales de la tercera convocatoria. </t>
  </si>
  <si>
    <t xml:space="preserve">1 Director regional         1 Sub director regional 1 Técnico regional </t>
  </si>
  <si>
    <t xml:space="preserve">Gestionar Apoyo logístico  para  entrega de documentación a pruebas Nacionales en  la sede.  expedientes de estudiantes, entre otros) </t>
  </si>
  <si>
    <t xml:space="preserve">Realizar y revisar expediente de estudiante fuera de la base de nota de presentacion en  pruebas nacionales </t>
  </si>
  <si>
    <t>Realizar encuentro de socialización de los resultados de pruebas naciones con los técnicos de los niveles con 100 personas. 8 horas</t>
  </si>
  <si>
    <t xml:space="preserve">Socializar con los niveles de la areas objetos de pruebas nacionales los resultados de la primera convocatoria </t>
  </si>
  <si>
    <t xml:space="preserve">Realizar reuniones presenciales con técnicos regionales y distritales convocado por la sede para cubrir pago de transporte . </t>
  </si>
  <si>
    <t xml:space="preserve">Realizar acompañamiento a los técnicos de los distritos para la capacitación de los resultados de pruebas nacionales de secundaria </t>
  </si>
  <si>
    <t xml:space="preserve">Realizar monitoreo, acompañamiento y seguimiento de los planes de mejoras en los resultados de las  pruebas nacionales </t>
  </si>
  <si>
    <t xml:space="preserve">Realizar Supervisión y Monitoreo al  proceso de la aplicación de pruebas nacionales, de Media (PREPARA) en la Tercera  convocatoria del año 2023, con la participación de 40 técnicos regionales. (pago por asignatura) </t>
  </si>
  <si>
    <t xml:space="preserve">15 Técncios regionales </t>
  </si>
  <si>
    <t xml:space="preserve">Se realizaran 14 y 15 de noviembre, </t>
  </si>
  <si>
    <t xml:space="preserve">Gestionar Apoyo logístico para la supervisión de la tercera   convocatoria  2024 para la modalidad Media Prepara </t>
  </si>
  <si>
    <t>Gestionar apoyo logistico para el pago de jurados en los diferentes distritos educativos.</t>
  </si>
  <si>
    <t xml:space="preserve">Descentralización </t>
  </si>
  <si>
    <t xml:space="preserve">Realizar seguimiento junto a los enlaces distritales a la Asignación, Uso, Liquidación y Monitoreo de Fondos Transferidos a las Juntas de Centros priorizados. </t>
  </si>
  <si>
    <t>Garantizar la correcta administración y transparencia en la asignación, uso, liquidación y monitoreo de los fondos transferidos a las juntas descentralizadas de los centros priorizados, mediante un seguimiento coordinado entre la Regional y los enlaces distritales.</t>
  </si>
  <si>
    <t xml:space="preserve">Enelsy Tejada </t>
  </si>
  <si>
    <t>Tecnicos Distritales</t>
  </si>
  <si>
    <t>Realizar acompañamientos a los directores de los centros educativos junto a los encargados de descentralización de los Distritos, para velar por el buen uso y manejo de los recursos.</t>
  </si>
  <si>
    <t>Fortalecer las capacidades de gestión administrativa y financiera de los directores de centros educativos, asegurando el uso adecuado de los recursos descentralizados mediante acompañamientos conjuntos con los equipos distritales de descentralización.</t>
  </si>
  <si>
    <t>Tecnicos Distritales
Directores de Centros Educativos</t>
  </si>
  <si>
    <t>Realizar monitoreos a los distritos educativos en la fase de reestructuración de las juntas descentralizadas y acompañamientos a las mismas</t>
  </si>
  <si>
    <t>Supervisar y apoyar el proceso de reestructuración de las juntas descentralizadas en los distritos educativos, garantizando su conformación efectiva, el cumplimiento de las normativas vigentes y el fortalecimiento de su gestión institucional.</t>
  </si>
  <si>
    <t>Tecnicos Distritales
Juntas descentralizadas
Directores de Centros Educativos</t>
  </si>
  <si>
    <t xml:space="preserve">Organizar capacitaciones a las juntas descentralizadas de los 6 Distritos educativos.                                                                                                    </t>
  </si>
  <si>
    <t>Desarrollar procesos formativos y de actualización dirigidos a las juntas descentralizadas de los seis distritos educativos, con el propósito de mejorar sus competencias en planificación, administración y rendición de cuentas de los fondos públicos.</t>
  </si>
  <si>
    <t>Tecnicos Distritales
Juntas descentralizadas</t>
  </si>
  <si>
    <t>Capacitar a los diferentes comités financieros de las juntas descentralizadas a nivel Regional, Distrital y de Centros Educativos.</t>
  </si>
  <si>
    <t>Fortalecer las capacidades técnicas y administrativas de los comités financieros de las juntas descentralizadas en los niveles regional, distrital y de centros educativos, promoviendo la gestión eficiente, transparente y normativa de los recursos transferidos.</t>
  </si>
  <si>
    <t>Bienestar Estudiantil</t>
  </si>
  <si>
    <t>realizar encuentro de capacitacion dirigida a tecnicos, directore, infraestructura y curriculares Bienestar Estudiantil</t>
  </si>
  <si>
    <t>capasitar a tecnicos del area de Bienestar Estudiantil para una mejor supervision</t>
  </si>
  <si>
    <t>Ernesto Camilo</t>
  </si>
  <si>
    <t>realizar reunion en centro educativo con director y suplidor para socializar problemas con los alimentos</t>
  </si>
  <si>
    <t>socializar con los directores para buscar solucion a problemas con los alimentos</t>
  </si>
  <si>
    <t>participacion en la progracion y ejecucion de los talleres de los distritos educativos, relacionados con bienestar estudiantil</t>
  </si>
  <si>
    <t>Participar en programas relacionados al INABIE</t>
  </si>
  <si>
    <t>realizar acompañamientos  y supervision en los centros educativos</t>
  </si>
  <si>
    <t xml:space="preserve"> acompañar y supervisar en el programa de alimentacion escolar </t>
  </si>
  <si>
    <t>acompañar y supervisar en el programa de alimentacion escolar</t>
  </si>
  <si>
    <t>seguimiento y monitoreo en los centros educativos, a la  distribucion  de kit de medicamentos  de desparasitacion  y otros</t>
  </si>
  <si>
    <t>realizar distriducion de kit de utilerias escolar  en los distritos y centros</t>
  </si>
  <si>
    <t>acompañar y dar seguimentos a las utileria escolanr</t>
  </si>
  <si>
    <t>monitoreo y supersion  de la calidad de los alimentos  que reciben los centros</t>
  </si>
  <si>
    <t>realiza supervision y monitoreo a la calidad de los alimentos</t>
  </si>
  <si>
    <t>realizar reconocimientos  a tecnicos distritales por la experiencias exitosa en el area de bienestar estudiantil</t>
  </si>
  <si>
    <t xml:space="preserve">dar reconocimientos a tecnicos </t>
  </si>
  <si>
    <t>Gestión de riesgo</t>
  </si>
  <si>
    <t>Realizacion de talleres de capacitacion con las brigadas de respuesta que conforman el plan de Gestion de Riesgos institucional Regional</t>
  </si>
  <si>
    <t>Estblecer el equipo responsable para dirigir o liderear ante un riesgo o desastre institucional Regional.</t>
  </si>
  <si>
    <t>Mayra Frías</t>
  </si>
  <si>
    <t>Realizacion de 8 charlas sobre el cuidado del medio ambiente y presevacion de los Recursos Naturales para un desarrollo sostenible y Cambio Climatico.</t>
  </si>
  <si>
    <t>Sensibilizar a los estudiante,sobre el Cambio Climatico.</t>
  </si>
  <si>
    <t xml:space="preserve">Realizar Seguimiento a la formación y actualización de los comités ambientales </t>
  </si>
  <si>
    <t>Monitorear la formacion y actualizacion de los Comites Ambientales</t>
  </si>
  <si>
    <t>Realizar Seguimiento a los técnicos distritales en los acompañamientos y orientaciones  a los centros Educativos para la preparación de los simulacros  ante la presencia de terremoto</t>
  </si>
  <si>
    <t>Monitorer en los centros Educativos los ensayos e informaciones para la preparacion de los Simulacros,</t>
  </si>
  <si>
    <t>No ejecutado</t>
  </si>
  <si>
    <t>En  desarrollo en fecha simultanea.</t>
  </si>
  <si>
    <t>Acompañar y dar seguimiento a las programaciones e incidentes de Gestion Ambiental y Riesgos del Minerd.</t>
  </si>
  <si>
    <t>Acompañar y dar apoyo a las actividades del Ministerio.</t>
  </si>
  <si>
    <t xml:space="preserve">Monitoreo y  seguimiento a la realizacion de los simulacros nacional </t>
  </si>
  <si>
    <t>Realizar y acompañar a los Centros Educativos en el Simulacro Nacional</t>
  </si>
  <si>
    <t>Realizar acompañamiento  a los técnicos distritales en las realizaciones de charlas en los centros educativos de medidas de prevención y mitigación ante temporadas ciclónicas y enfermedades tropicales y vectoriales.</t>
  </si>
  <si>
    <t>Monitorear y acompañar a los tecnicos Distritales en charlas de formacion.</t>
  </si>
  <si>
    <t>Realizar seguimiento a la formacion y actualizacion del plan de gestion Ambiental y Riesgos</t>
  </si>
  <si>
    <t>Monitoreo y seguimiento para que los Centros Educativos cuenten con su plan de G,R, este actualizado.</t>
  </si>
  <si>
    <t>Recuperando datos. Espere unos segundos e intente cortar o copiar de nuevo.</t>
  </si>
  <si>
    <t>SIGERD</t>
  </si>
  <si>
    <t>Realizar Monitoreo al proceso de Capacitación Distrital de Directores/as y Usuarios de Centros Educativos Públicos, Privados y Semi Oficiales</t>
  </si>
  <si>
    <t>Verificar la calidad, pertinencia y alcance del proceso de capacitación distrital dirigido a directores y usuarios del sistema educativo, asegurando que las acciones formativas contribuyan al fortalecimiento del uso adecuado del SIGERD y la gestión escolar.</t>
  </si>
  <si>
    <t>Heysin Sosa</t>
  </si>
  <si>
    <t>Encargados de Registro y Control Academico Centros Educativos.</t>
  </si>
  <si>
    <t>Realizar Monitoreo de Registro de inscripción de los estudiantes en el sistema de información para la Gestión Escolar de Rep. Dom. (SIGERD.)</t>
  </si>
  <si>
    <t>Supervisar la actualización y registro oportuno de la matrícula estudiantil en el SIGERD, garantizando la integridad, consistencia y confiabilidad de los datos ingresados por los centros educativos y distritos.</t>
  </si>
  <si>
    <t>Realizar auditoria y validacion a  registros de grados y expedientes en comparativa a relacion de estudiantes en el sistema de informacion SIGERD.</t>
  </si>
  <si>
    <t>Evaluar la consistencia y veracidad de los registros académicos mediante auditorías comparativas entre los expedientes físicos y la información contenida en el SIGERD, con el propósito de identificar y corregir discrepancias en los datos escolares.</t>
  </si>
  <si>
    <t>Realizar Jornada de Certificación de Calidad de Datos en el SIGERD.</t>
  </si>
  <si>
    <t>Impulsar procesos de verificación, depuración y certificación de la calidad de los datos del SIGERD, fortaleciendo la fiabilidad de la información institucional utilizada para la toma de decisiones y reportes oficiales.</t>
  </si>
  <si>
    <t>10-Tecnicos Distritales .Todos/Directores de centros educativos.</t>
  </si>
  <si>
    <t>Supervision a proceso de certificacion de la calidad de los datos.</t>
  </si>
  <si>
    <t>Asegurar el cumplimiento de los estándares de calidad y protocolos técnicos establecidos por el MINERD en el proceso de certificación de datos, mediante una supervisión continua a los equipos distritales y centros educativos involucrados.</t>
  </si>
  <si>
    <t>Acompañarmiento y seguimiento a técnicos  distritales del SIGERD y usuarios en centros educativos en su práctica.</t>
  </si>
  <si>
    <t>Brindar asistencia técnica y seguimiento personalizado a los técnicos distritales y usuarios del SIGERD en los centros educativos, fortaleciendo sus competencias operativas y la correcta gestión del sistema de información.</t>
  </si>
  <si>
    <t>Directores de centros educativos,Encargados de Registro y Control Academico Centros Educativos.</t>
  </si>
  <si>
    <t>Realizar encuentros de socialización y coordinación con equipos técnicos del SIGERD sobre las acciones a desarrollar en los distritos y centros educativos de la regional 15</t>
  </si>
  <si>
    <t>Fortalecer la articulación institucional y la planificación conjunta entre los equipos técnicos del SIGERD regional y distrital, mediante encuentros de socialización que orienten y unifiquen criterios sobre las acciones a ejecutar en el territorio.</t>
  </si>
  <si>
    <t>Gestionar Participación en talleres nacionales</t>
  </si>
  <si>
    <t>Promover la actualización y formación continua del equipo técnico regional mediante la gestión de su participación en talleres nacionales del SIGERD y del MINERD, con el fin de aplicar las innovaciones y directrices emanadas a nivel central.</t>
  </si>
  <si>
    <t>Prueba piloto nueva plataforma de gestion de centros educativos del MINERD</t>
  </si>
  <si>
    <t>Medir el funcionamiento de la pletagorma en el uso con usuarios finales,captar impeciones de los usuarios en centros educativos y sistematizar sugerencias para el mejoramiento de la puesta en marcha.</t>
  </si>
  <si>
    <t>10-Direcotres de centros educativos.</t>
  </si>
  <si>
    <t>INAFOCAM</t>
  </si>
  <si>
    <t>Participar en aperturas de programa de formacion continua para docentes.</t>
  </si>
  <si>
    <t>Apoyar como enlace de la regional con el inafocam</t>
  </si>
  <si>
    <t xml:space="preserve">Melania Heredia </t>
  </si>
  <si>
    <t>Participar en cierre de programa de formacion.</t>
  </si>
  <si>
    <t>Apoyar como enlace de la regional con el inafocam.</t>
  </si>
  <si>
    <t>Dar seguimiento a la formacion de la estrategia alfabetizacion en la etapa oportuna.</t>
  </si>
  <si>
    <t>Dar seguimiento a la formacion en los diferentes espacios  que se estan formando para asegurar su permanencia en el programa.</t>
  </si>
  <si>
    <t>Dar seguimiento a la elaboracion del plan de acogida en los centros educativos  que participaron en el taller y tienen docentes de nuevo ingreso 20-25- 2026</t>
  </si>
  <si>
    <t>Monitorear y dar seguimiento a la ejecucion en el centro.</t>
  </si>
  <si>
    <t>Dar seguimiento a la data de los docentes de nuevo ingreso a que no se quede ningun docente sin inducir y asegurar que sus datos esten completo y correcto.</t>
  </si>
  <si>
    <t>Dar seguimiento a los coordinadores distritales de induccion en todos los procesos.</t>
  </si>
  <si>
    <t>Dar seguimiento a los coordinadores distritales en los procesos de induccion.</t>
  </si>
  <si>
    <t>Cumplir con el seguimiento y ejecucion de las acciones del programa de induccion.</t>
  </si>
  <si>
    <t xml:space="preserve">Infraestructura </t>
  </si>
  <si>
    <t>Supervisar la condicion estructural de los centros educativos perteneciente a la regional 15.</t>
  </si>
  <si>
    <t>Verificar el estado estructural de los centros educativos pertenecientes a la Regional 15, con el propósito de identificar necesidades de mantenimiento o reparación que garanticen entornos escolares seguros y adecuados para el desarrollo del proceso educativo.</t>
  </si>
  <si>
    <t>Juan Almonte</t>
  </si>
  <si>
    <t xml:space="preserve">20 centros educativos </t>
  </si>
  <si>
    <t>Reportar todas las incidencias relacionadas a cada centro educativo perteneciente a la regional 15, una vez a la semana durante el periodo enero -diciembre.</t>
  </si>
  <si>
    <t>Registrar y comunicar de manera oportuna todas las incidencias detectadas en los centros educativos pertenecientes a la Regional 15, mediante reportes semanales durante el período establecido, con el fin de facilitar la toma de decisiones y la ejecución de acciones correctivas a tiempo.</t>
  </si>
  <si>
    <t xml:space="preserve">21 centros educativos </t>
  </si>
  <si>
    <t xml:space="preserve">Orientacion y Psicologia </t>
  </si>
  <si>
    <t>Talleres grupos Psicopedagógicos  </t>
  </si>
  <si>
    <t>Capacitar los técnicos distritales y regionales con los temas de las diferentes líneas de intervención  </t>
  </si>
  <si>
    <t>Gabriela Nina</t>
  </si>
  <si>
    <t>27 técnicos nacionales, distritales y regionales  </t>
  </si>
  <si>
    <t>Orientacion y Psicologia</t>
  </si>
  <si>
    <t>4ta. Comunidad Práctica (Reunión del equipo técnico Distrital y Regional) </t>
  </si>
  <si>
    <t>Socializar las accciones del área con miras a la mejora de la planificación trimestral</t>
  </si>
  <si>
    <t>Acompañamiento a los técnicos Distritales </t>
  </si>
  <si>
    <t>Acompañar al técnico/a distrital  en la ejecuación de acciones y actividades de impacto, para socializar y fortalecer su práctica.</t>
  </si>
  <si>
    <t>6 Distritos educativos</t>
  </si>
  <si>
    <t xml:space="preserve">Talleres de Convivencia pacifica </t>
  </si>
  <si>
    <t>Trabajar los temas de valores, liderazgo educativo y relaciones de convivencia.</t>
  </si>
  <si>
    <t>50 orientadores y técnicos.</t>
  </si>
  <si>
    <t>Monitoreo y acompañamiento a orientadores del proceso de Planificación e  Intervención Psicopedagógica  </t>
  </si>
  <si>
    <r>
      <t>Monitorear  y Acompañar la labor orientadora y la ejecución de la planificación del área en los centros educativos para dar respuesta oportuna que fortalezcan las competencias del equipo de orientación y psicología para contribuir con  la mejora del proceso de aprendizaje de</t>
    </r>
    <r>
      <rPr>
        <sz val="12"/>
        <rFont val="Calibri"/>
        <family val="2"/>
      </rPr>
      <t xml:space="preserve"> los estudiantes. </t>
    </r>
  </si>
  <si>
    <t>6 centros educativos</t>
  </si>
  <si>
    <t>Graduacion con las familias del distrito 15-05 que participaron en el programa La Familia Se Transforma desde La Escuela</t>
  </si>
  <si>
    <t>Reconocer y valorar el esfuerzo, el compromiso y la participación de las familias en el proceso formativo para una transformación en valores, fortaleciendo la alianza escuela-familia. </t>
  </si>
  <si>
    <t>50  docentes familias, orientadoras, tecnicos distritales, regionales y nacionales.</t>
  </si>
  <si>
    <t>Talleres de Capacitación sobre las directrices especificas para la aplicacion y correcion de las pruebas proyectivas (figura humana y familia).</t>
  </si>
  <si>
    <t>Capacitar al personal de orientación y psicología de las regionales, distritos y centros educativos sobre las Talleres de Capacitación sobre las directrices especificas para la aplicacion y correcion de las pruebas proyectivas (figura humana y familia).</t>
  </si>
  <si>
    <t xml:space="preserve">Centros Educativos de los 6 distritos </t>
  </si>
  <si>
    <t>20,21,y 22/11/2024</t>
  </si>
  <si>
    <t>Fortaleciendo competencias Basicas del Personal tecnico de (Salud Escolar) 15-01, 15-02, 15-03, 15-05 y 15-06.</t>
  </si>
  <si>
    <r>
      <t>Monitorear  y Acompañar el proceso de implemetación de la evaluación Psicopedagógica y la Evaluación integral por parte del equipo de orientación y psicología para contribuir con  la mejora del proceso de aprendizaje de</t>
    </r>
    <r>
      <rPr>
        <sz val="12"/>
        <color rgb="FF000000"/>
        <rFont val="Calibri"/>
        <family val="2"/>
      </rPr>
      <t xml:space="preserve"> los estudiantes y la salud Escolar.</t>
    </r>
  </si>
  <si>
    <t>Tecnicos regionales y distritales de los distritos seleccionados</t>
  </si>
  <si>
    <t>Monitoreo y acompañamiento a casos focalizados  y derivados al CAPEM</t>
  </si>
  <si>
    <t>Acompañar y dar seguimiento junto a técnicos distritales a los orientadores y psicólogos de los centros educativos en el manejo de los casos de mayor complejidad y derivación al CAPEM sí es necesario.</t>
  </si>
  <si>
    <t>Centros educativos donde se presenten los caso.</t>
  </si>
  <si>
    <t>Acciones de Conmemoración Mes de la Familia</t>
  </si>
  <si>
    <t>Monitorear las actividades reakizadas en los diferente distritos educativos.</t>
  </si>
  <si>
    <t>6 Distritos Educativos, de la jurisdicción Regional.</t>
  </si>
  <si>
    <t>Conversatorio sobre Dislexia</t>
  </si>
  <si>
    <t xml:space="preserve">Concientizar a orientadoras, coordinadoras y equipo tecnico sobre este trastorno del neurodesarrollo.  </t>
  </si>
  <si>
    <t xml:space="preserve"> Orientadoras, psicologas, coordinadoras, tecnicos distritales y regionales.</t>
  </si>
  <si>
    <t>Monitoreo a la implemetación de los lineamientos enfoques de Orientación Vocacional.</t>
  </si>
  <si>
    <t xml:space="preserve">Implementar los lineamiento de la orientación vocacional dentro de la linea de intervención de atención a la participaciónetudiantil. </t>
  </si>
  <si>
    <t>Orientadores y psicologos de los 6 distritos educativos.</t>
  </si>
  <si>
    <t>Premiación del Programa del Mérito Estudiantil, Galardon Máxima Excelencia</t>
  </si>
  <si>
    <t>Reconocer los estudiantes de mayor indice academico de la regional 15, en su trayectoria en el nivel secundario.</t>
  </si>
  <si>
    <t>Soranyuly Morel</t>
  </si>
  <si>
    <t xml:space="preserve">18 Estudiantes meritorios de los 6 distritos y  2 orientadores y psicólogos </t>
  </si>
  <si>
    <t>Campamento ESI en valores Distritos Priorizados, Nivel Secundario</t>
  </si>
  <si>
    <t>Propiciar el desarrollo de competencias en los estudiantes del nivel secundario, referidas a sus valores y educación integral en sexualidad </t>
  </si>
  <si>
    <t>40 estudiantes, 5 orientadores 1 tecnicos y 1 representante de la APMAE</t>
  </si>
  <si>
    <t xml:space="preserve">Encuentro de Evaluación y cierre del año fiscal </t>
  </si>
  <si>
    <t>Evaluar los procesos y el nivel de ejecución de los Programas y Proyectos</t>
  </si>
  <si>
    <t>27 técnicos distritales y regionales  y nacionales</t>
  </si>
  <si>
    <t>Centro de Atención a la Diversidad (CAD)</t>
  </si>
  <si>
    <t>Taller de estrategias para el trabajo en el aula de Estudiantes con NEAE asociado a Discapacidad, dirigido a Técnicos Distritales del Nivel Primario, de Educación Especial, y docentes.</t>
  </si>
  <si>
    <t> Realizar taller de estrategias para el trabajo en el aula de Estudiantes con NEAE asociado a Discapacidad, dirigido a Técnicos Distritales del Nivel Primario, de Educación Especial, y docentes.</t>
  </si>
  <si>
    <t>Andrea Santana</t>
  </si>
  <si>
    <t>Taller dirigido a Familias de estudiantes con discapacidad  incluidos en los centros educativos de los 6 distritos de la Regional.</t>
  </si>
  <si>
    <t>Realizar taller dirigido a Familias de estudiantes con discapacidad  incluidos en los centros educativos de los 6 distritos de la Regional.</t>
  </si>
  <si>
    <t>Taller con docentes y Psicólogos de Aulas Específicas para la inclusión educativa de los centros educativos de la Regional 15.</t>
  </si>
  <si>
    <t>Realizar taller con docentes y Psicólogos de Aulas Específicas para la inclusión educativa de los centros educativos de la Regional 15.</t>
  </si>
  <si>
    <t>Ruth J. Rodríguez</t>
  </si>
  <si>
    <t>Monitoreo a las estrategias de atención a la diversidad en los centros educativos donde cursan estudiantes con NEAE asociado a discapacidad.</t>
  </si>
  <si>
    <t> Realizar monitoreo a las estrategias de atención a la diversidad en los centros educativos donde cursan estudiantes con NEAE asociado a discapacidad.</t>
  </si>
  <si>
    <t>Acompañamiento y seguimiento  a las estrategias de atención a la diversidad en los centros educativos donde cursan estudiantes con NEAE asociadas a discapacidad.</t>
  </si>
  <si>
    <t>Realizar acompañamiento y seguimiento  a las estrategias de atención a la diversidad en los centros educativos donde cursan estudiantes con NEAE asociadas a discapacidad.</t>
  </si>
  <si>
    <t>Isaura Mella</t>
  </si>
  <si>
    <t>Supervision  y acompañamiento de la implementación de los procesos de inclusión Educativa  y Atención a la Diversidad en los centros educativos donde cursan estudiantes con NEAE asociada a discapacidad.</t>
  </si>
  <si>
    <t>Supervisar y acompañar la implementación de los procesos de inclusión Educativa  y Atención a la Diversidad en los centros educativos donde cursan estudiantes con NEAE asociada a discapacidad.</t>
  </si>
  <si>
    <t>Odalis Durán</t>
  </si>
  <si>
    <t xml:space="preserve">Acompañamiento y seguimiento apertura a Aulas de Transicion a la VIda Adulta </t>
  </si>
  <si>
    <t xml:space="preserve">Acompañar y dar seguimiento apertura a Aulas de Transicion a la VIda Adulta </t>
  </si>
  <si>
    <t>Akira Castillo</t>
  </si>
  <si>
    <t>Acompañamiento y seguimiento a los procesos pedagogicos de las Aulas Especificas.</t>
  </si>
  <si>
    <t>Acompañar y dar seguimiento a los procesos pedagogicos de las Aulas Especificas.</t>
  </si>
  <si>
    <t>Coordinador de servicio técnico  pedagógico</t>
  </si>
  <si>
    <t xml:space="preserve">Redactar y presentar los informes de la implementación de los programas de apoyo a los aprendizajes en la regional educativa. </t>
  </si>
  <si>
    <t>Elaborar y entregar informes sobre la implementación de los programas de apoyo a los aprendizajes en la regional educativa, dentro de los plazos establecidos y con información clara y pertinente.</t>
  </si>
  <si>
    <t>Ryde Acosta</t>
  </si>
  <si>
    <t>Redactar plan de capacitacion y actualizacion del personal tecnico docentes y administrativo.</t>
  </si>
  <si>
    <t>Diseñar y redactar el plan de capacitación y actualización del personal técnico, docente y administrativo, alineado con las necesidades formativas de la regional educativa.</t>
  </si>
  <si>
    <t>Participar en actividades programadas desde la SEDE, Distritos o Centros Educativos.</t>
  </si>
  <si>
    <t>Participar activamente en las actividades programadas por la SEDE, los distritos y los centros educativos, contribuyendo al fortalecimiento de los procesos educativos en la regional.</t>
  </si>
  <si>
    <t xml:space="preserve">Se cuantificará según solicitudes de participación. </t>
  </si>
  <si>
    <t>Dar seguimiento a situaciones e imprevistos enviados por el MINERD u ocurridas en Distritos, o Centros Educativos.</t>
  </si>
  <si>
    <t>Dar seguimiento oportuno y efectivo a situaciones e imprevistos reportados por el MINERD o surgidos en distritos y centros educativos, garantizando respuestas ágiles y coordinadas.</t>
  </si>
  <si>
    <t>Acompañar a los técnicos distritales de desarrollo curricular en su gestión de procesos pedagógicos articulando con las areas y los niveles.</t>
  </si>
  <si>
    <t>Acompañar a los técnicos distritales de desarrollo curricular en la gestión de procesos pedagógicos, promoviendo la articulación entre áreas y niveles educativos.</t>
  </si>
  <si>
    <t>6 curriculares distritales</t>
  </si>
  <si>
    <t>Realizar encuentro con técnicos regionales y distritales, coordinadores de niveles, ciclos y modalidades, curriculares y supervision, para socializar el informe de memoria del año fiscal.</t>
  </si>
  <si>
    <t>Realizar encuentros con técnicos regionales y distritales, así como con coordinadores de niveles, ciclos, modalidades, curriculares y de supervisión, para socializar el informe de memoria del año fiscal y fortalecer la gestión educativa.</t>
  </si>
  <si>
    <t>Coordinadores regionales y distritales. Curriculares,</t>
  </si>
  <si>
    <t>Por determinar con despacho de la regional.</t>
  </si>
  <si>
    <t>Realizar encuentro de coordinación para el seguimientos de planes, progrmas y proyectos.</t>
  </si>
  <si>
    <t>Realizar encuentros de coordinación para dar seguimiento a los planes, programas y proyectos educativos, fortaleciendo la articulación entre los equipos técnicos y los niveles operativos.</t>
  </si>
  <si>
    <t>Participación Comunitaria</t>
  </si>
  <si>
    <t>Socialización  con representantes  padres, madres y tutores de los organismos de participación para la compartir experiencia en comunidades Practicas ´para los fines de fortalecer el proceso de integración a la gestión escolar</t>
  </si>
  <si>
    <t xml:space="preserve"> Compartir experiencia en comunidades Practicas ´para los fines de fortalecer el proceso de integración a la gestión escolar</t>
  </si>
  <si>
    <t xml:space="preserve">Ana Catalina Pérez </t>
  </si>
  <si>
    <t>Realización de panel sobre el el rol de las APMAE según la Ordenanza 9-20000(modificada), para empoderarlos sobre sus roles y funciones en los centros educativos.</t>
  </si>
  <si>
    <t>Lograr que las APMAES conocan la nueva Ordenanza 03-2025</t>
  </si>
  <si>
    <t xml:space="preserve">Realización de acto de reconocimiento a directivas de APMAE, que han tenido experiencias exitosas en los centros educativos, en conmemoración al Día Nacional de las APMAE." </t>
  </si>
  <si>
    <t xml:space="preserve">Realizar acto de reconocimiento a directivas de APMAE, que han tenido experiencias exitosas en los centros educativos, en conmemoración al Día Nacional de las APMAE." </t>
  </si>
  <si>
    <t xml:space="preserve">Realizacion de encuentro con los directivos de APMAEs para desarrollar la temática: Celebración de la llegada de la Navidad en Familia </t>
  </si>
  <si>
    <t xml:space="preserve">Realizar de encuentro con los directivos de APMAEs para desarrollar la temática: Celebración de la llegada de la Navidad en Familia </t>
  </si>
  <si>
    <t>Realizacón de encuentro con técnicos distritales, para la socialización de los instrumentos de conformación de las directivas de APMAE, en centros públicos y privados y establecer acuerdos y compromisos para el logro de los resultados</t>
  </si>
  <si>
    <t>Realizar  encuentro con técnicos distritales, para la socialización de los instrumentos de conformación de las directivas de APMAE, en centros públicos y privados y establecer acuerdos y compromisos para el logro de los resultados</t>
  </si>
  <si>
    <t>Realizacion de Validacioon y seguimiento a la conformación de los  comités de padres en los centros públicos y privados.</t>
  </si>
  <si>
    <t xml:space="preserve"> Validar y  dar seguimiento a la conformación de los  comités de padres en los centros públicos y privados.</t>
  </si>
  <si>
    <t>Validación  de la conformación de los  directivas de padres, madres y tutores( APMAE), en los centros educativos.</t>
  </si>
  <si>
    <t xml:space="preserve"> Validar y  dar seguimiento a la conformación de los  comités de padres  , madres y tutores en los centros educativos</t>
  </si>
  <si>
    <t>Realizacion de talleres a favor de los tecnicos dirigido a técnicos distritos educativos,  para  socializar los instrumentos de conformación de los comités de cursos en centro público y privado.</t>
  </si>
  <si>
    <t>Realizar talleres a favor de los tecnicos dirigido a técnicos distritos educativos,  para  socializar los instrumentos de conformación de los comités de cursos en centro público y privado.</t>
  </si>
  <si>
    <t>Realizacion de taller de socialización y evaluación de las acciones desarrolladas en el área de Participación Comunitaria distritales, para mejorar su desempeño</t>
  </si>
  <si>
    <t>Realizar  taller de socialización y evaluación de las acciones desarrolladas en el área de Participación Comunitaria distritales, para mejorar su desempeño</t>
  </si>
  <si>
    <t>Realizacion de monitoreos y acompañamientos al proceso de conformación de los comités de cursos, nivel de vance del proceso de conformación de APMAE.</t>
  </si>
  <si>
    <t>Determinar el niverl de vance en el monitoreos y acompañamientos al proceso de conformación de los comités de cursos, nivel de vance del proceso de conformación de APMAE.</t>
  </si>
  <si>
    <t>Realización de acompañamiento las Instituciones que participan a través de los Fondos concursable/Fondos Concursable, estadisticas de niños sin escolaridad, acuerdos a proyectos interinstitucionales, mediacion y situaciones emergentes, cafeterias escolares.</t>
  </si>
  <si>
    <t>Acompañar a las Instituciones que participan a través de los Fondos concursable/Fondos Concursable, estadisticas de niños sin escolaridad, acuerdos a proyectos interinstitucionales, mediacion y situaciones emergentes, cafeterias escolares.</t>
  </si>
  <si>
    <t xml:space="preserve">Coordinacion , creacion de estrategias para lograr inicio , reinicio de  año escolar 2024-2025.  </t>
  </si>
  <si>
    <t xml:space="preserve">Acompañar en la im,plementacion de la  creacion de estrategias para lograr inicio , reinicio de  año escolar 2024-2025.  </t>
  </si>
  <si>
    <t xml:space="preserve">Conformacioón de  mesas de dialogo con los miembros de la comunidad educativa sobre la mejora de los aprendizajes de los alumnos </t>
  </si>
  <si>
    <t xml:space="preserve">Generar la implementacion de acciones  a traves de las  mesas de dialogo con los miembros de la comunidad educativa sobre la mejora de los aprendizajes de los alumnos </t>
  </si>
  <si>
    <t xml:space="preserve">Informática Educativa </t>
  </si>
  <si>
    <t xml:space="preserve">Realizar acompañamiento a equipo distrital Tic para dar seguimiento a las acciones que ellos realizan desde el distrito en los centros educativos aplicando el instrumento de seguimiento, revisando sus evidencias, etc.  24  visitas de acompañamiento </t>
  </si>
  <si>
    <t>Dar seguimiento a las acciones realizadas desde los distritos por el equipo técnico distrital Tic</t>
  </si>
  <si>
    <t xml:space="preserve">Fior Daliza Santos </t>
  </si>
  <si>
    <t>10 Técnicos distritales Tic</t>
  </si>
  <si>
    <t>10/17/2025</t>
  </si>
  <si>
    <t>Realizar acompañamiento a centros educativos acompañados de los técnicos distritales para dar seguimiento a los docentes integrando las tecnologias en la planificación luego de tener acceso a los recursos tecnologicos laptos, pizarras digitales interactivas, los estudiantes tablets y network. 40 visitas</t>
  </si>
  <si>
    <t>Dar seguimiento a los docentes en el proceso pedagogico de integrar las Tic al tiempo de motivar al equipo de gestion que apoyados por el dinamizador Tic puedan participar en los diferentes congresos de Steam de convocatorias que actualmente estan abiertas</t>
  </si>
  <si>
    <t>18 centros educativos</t>
  </si>
  <si>
    <t>10/21/2025</t>
  </si>
  <si>
    <t>Encuentro trimestral con el equipo tecnico distrital Tic con el objetivo de evaluar las acciones realizadas en cada termino de cuatrimestre y  planificar las acciones del trimestre que inicia</t>
  </si>
  <si>
    <t>Dar seguimiento a los acompañamientos realizados, evaluar la presentaci{on de buenas prácticas etapa distrital y regional, coordinar taller dirigido a los técnicos regionales contenido de la jornada de verano 2025 Steam</t>
  </si>
  <si>
    <t>2 encuentros</t>
  </si>
  <si>
    <t>10/24/2025</t>
  </si>
  <si>
    <t>Acompañando procesos actividades no programadas, dar seguimiento a entrega de dispositivos. Instalaciones de PDI, entrega de equipos.  40 visitas</t>
  </si>
  <si>
    <t>Dar seguimiento a participación de los centros educativos en dos actividades no programadas:  Congreso Nacional de la Red STEM 2025  (05-11-2025) y Feria Intercolegial STEM 2025 – Edición Especial: STEM Day Showcase</t>
  </si>
  <si>
    <t xml:space="preserve">2  actividades no programadas </t>
  </si>
  <si>
    <t>Taller dirigido a los técnicos regionales sobre el uso de las PDI orientado al uso de herramientas de las areas curriculares y robótica educativa kit nivel secundario</t>
  </si>
  <si>
    <t xml:space="preserve">Realizar el taller dirigido a los técnicos regionales sobre todos los recursos de robótica que estan en los centros educatibos. Realización de práctica </t>
  </si>
  <si>
    <t>1 actividad programada</t>
  </si>
  <si>
    <t>11/14/2025</t>
  </si>
  <si>
    <t xml:space="preserve">Regional:  1500    Fecha:  01/10/25 </t>
  </si>
  <si>
    <t>Impacto obtenido (especifique población beneficiada 8/15)</t>
  </si>
  <si>
    <t>Cuantificación de las acciones realizadas durante el trimestre Octubre-Diciembre  2025</t>
  </si>
  <si>
    <t>Acciones realizadas</t>
  </si>
  <si>
    <t>Cantidad realizadas</t>
  </si>
  <si>
    <t>Población impactada</t>
  </si>
  <si>
    <t>Total de personas impactada</t>
  </si>
  <si>
    <t>Técnico Reg/Dist.</t>
  </si>
  <si>
    <t>Personal docente de los centros educativos</t>
  </si>
  <si>
    <t>Estudiantes</t>
  </si>
  <si>
    <t>Otros</t>
  </si>
  <si>
    <t xml:space="preserve">Mesa pedagógica </t>
  </si>
  <si>
    <t xml:space="preserve">Encuentros de socialización con los homólogos </t>
  </si>
  <si>
    <t>Total</t>
  </si>
  <si>
    <t>TRIMESTRE: Octubre-Diciembre, 2025</t>
  </si>
  <si>
    <t>Análizar y profundización y reflexión de los resultados arrojados de la evaluación diagnóstica (Lengua Española, Matemática, Ciencias Sociales y Ciencias de la Naturaleza) de los estudiantes del Nivel Primario.Establecer programa integral para los aprendizajes en el segundo ciclo del Nivel Primario (CRECE Primaria)</t>
  </si>
  <si>
    <t xml:space="preserve">Fortalecer la implementación del Programa CONBASE </t>
  </si>
  <si>
    <t>Realizar encuetro de socializaciòn y orientaciòn de las acciones a  ejecutar en las olimpiadas de matemàtica con tècnicos distritales y regionales encargados del àrea.</t>
  </si>
  <si>
    <t>TRIMESTRE:Octubre-Diciembre, 2025</t>
  </si>
  <si>
    <t>Nivel Secundario/Lengua Española</t>
  </si>
  <si>
    <t>VICEMINISTERIO DE SERVICIOS TÉCNICOS Y PEDAGÓGICOS</t>
  </si>
  <si>
    <t>Actividad</t>
  </si>
  <si>
    <t xml:space="preserve">Nivel Secundario/Modalidad en Artes </t>
  </si>
  <si>
    <t>Coordinar y ejecutar jornadas de acompañamiento, seguimiento y monitoreo a la Modalidad de Artes en instituciones educativas, enfocándose en los procesos institucionales y pedagógicos, en articulación con técnicos nacionales, regionales y distritales.</t>
  </si>
  <si>
    <t>Realizar acompañamientos ,seguimientos y monitoreo a la Modalidad De Artes,en los procesos institusionales y pedagogicos,con tecnicos Nacionales,Regionales y Distritales</t>
  </si>
  <si>
    <t>Ejecutar 24 acompañamientos a los proyectos de la Modalidad en Artes —Ruta del Arte, Cuentos Cortos en Pantalla, Canta y Exprésate, Sinfonías Escénicas y Somos Artesanos— en coordinación con los técnicos distritales, incluyendo la elaboración y entrega de informes del área.</t>
  </si>
  <si>
    <t>Realizar 24 Acompañamientos a los proyectos  de  Modalidad En Artes , Ruta del Arte,cuentos cortos en pantalla,canta y expresate,sinfonias escenica y somos artesanos junto a los tecnicos distritales informes del area,</t>
  </si>
  <si>
    <t>Organizar y desarrollar 3 encuentros trimestrales de socialización y planificación de acciones de la Modalidad en Artes, con la participación de 12 técnicos nacionales, regionales y distritales, con una duración de 4 horas cada uno.</t>
  </si>
  <si>
    <t>Realizar 3 encuentros de   Socializacion y organización de las Acciones a realizar en el trimestre  con 12 tecnicos Nacionales ,Regionales y distritales de Modalidad En Artes . 4 horas</t>
  </si>
  <si>
    <t>Nivel Secundario/Area Educacion Fisica</t>
  </si>
  <si>
    <t xml:space="preserve">Nivel Secundario/Educación Fisica </t>
  </si>
  <si>
    <t>Nivel Secundario/Lenguas Extranjeras</t>
  </si>
  <si>
    <t xml:space="preserve">Se ejecuto con el 100% de los convocados </t>
  </si>
  <si>
    <t>Encuentro Virtual Con tecnicos de las 18 regionales</t>
  </si>
  <si>
    <t>rientar y socializar los criterios para la realización del equipamiento y adecuación de talleres de las Escuelas Laborales que se realizará a través de transferencias a las Juntas Regionales Educativas.</t>
  </si>
  <si>
    <t>Tecnicos nacionales.               Técnicos de las 18 Regionales.                     Encargados de compras de las 18 Regionales.</t>
  </si>
  <si>
    <t>Ejecutada</t>
  </si>
  <si>
    <t>Participacion en actividad de la Sede</t>
  </si>
  <si>
    <t>Orientar y socializar los criterios para la realización del reconocimiento de los participantes de educación primaria de personas jóvenes y adultas.</t>
  </si>
  <si>
    <t xml:space="preserve">1 nacional.                                   3 regionales.                1 directora distrital adjunta.               11 tecnicos distritales.              1 colaborador. </t>
  </si>
  <si>
    <t>Actividad relacionada con lo pedagógico</t>
  </si>
  <si>
    <t xml:space="preserve">Evaluación de la calidad </t>
  </si>
  <si>
    <t>INABIE</t>
  </si>
  <si>
    <t xml:space="preserve">Cultura </t>
  </si>
  <si>
    <t xml:space="preserve">Orientación y Psicología </t>
  </si>
  <si>
    <t xml:space="preserve">Educación de Genero </t>
  </si>
  <si>
    <t>ord</t>
  </si>
  <si>
    <t>le</t>
  </si>
  <si>
    <t xml:space="preserve">Colegios Privados </t>
  </si>
  <si>
    <t>Realizar comunidad de aprendizaje para socializar documentos curriculares y  normativas vigentes.</t>
  </si>
  <si>
    <t>Jenifer Lara</t>
  </si>
  <si>
    <t>Orientar al personal de las instituciones educativas privadas sobre las normativas vigentes establecidas por el Ministerio de Educación con el fin de garantizar un servicio educativo de calidad. Participan 3 técnicos Regional.</t>
  </si>
  <si>
    <t>En proceso de cuantificación con ayuda de los técnicos distritales,</t>
  </si>
  <si>
    <t>Acompañar IEP para evaluar aspectos generales del desempeño institucional y pedagógico de las instituciones educativas privadas. Participan 3 técnicos Regional.</t>
  </si>
  <si>
    <t>Evaluar a las instituciones educativas privadas NO reconocidas para fines de reconocimiento en los niveles inicial, primario y secundario, según la Ordenanza 04-2000. Participan 3 técnicos Regional.</t>
  </si>
  <si>
    <t xml:space="preserve">Realizar un levantamiento de la población estudiantil con necesidades educativas específicas en el Sector Educativo Privado. Participan 2 técnicos Regional. </t>
  </si>
  <si>
    <t xml:space="preserve">Realizar acompañamiento, seguimiento, monitoreo, y supervisión a centros públicos y privados como acciones emanadas de otras instancias del MINERD.  </t>
  </si>
  <si>
    <t>Realizar Acompañamiento  a docentes de Primaria y Secundaria previo a la aplicación de las Evaluaciones Diagnósticas. Participan 3 técnicos Regional.</t>
  </si>
  <si>
    <t xml:space="preserve">Verificar acción con Evaluación de la calidad. </t>
  </si>
  <si>
    <t>Acompañar a las Instituciones Educativas Privadas que completaron el proceso de Autoevaluación y establecieron sus planes de mejoramiento institucional y pedagógico a los fines de ser evaluados. Participan 3 técnicos Regional</t>
  </si>
  <si>
    <t>Dar seguimiento a las Instituciones Educativas Privadas que establecieron planes de mejoramiento institucional de acuerdo con la Ordenanza 04-2000. Participan 3 técnicos Regional.</t>
  </si>
  <si>
    <t>Reevaluar las instituciones educativas privadas reconocidas, a los fines de verificar  si conservan las condiciones establecidas en la  Ordenanza 04-2000. Participan 3 técnicos Regional.</t>
  </si>
  <si>
    <t>Realizar acompañamientos a Coordinadores Distritales en su contexto para  socializar y reflexionar sobre las acciones desarrolladas con las IEP a fin de fortalecer los procesos pedagógicos.  Participan 3 técnicos Regional.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</si>
</sst>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name val="Aptos Narrow"/>
      <scheme val="minor"/>
    </font>
    <font>
      <sz val="11"/>
      <color rgb="FF000000"/>
      <name val="Aptos Narrow"/>
      <scheme val="minor"/>
    </font>
    <font>
      <sz val="11"/>
      <color rgb="FF000000"/>
      <name val="Aptos Narrow"/>
      <family val="2"/>
      <scheme val="minor"/>
    </font>
    <font>
      <b/>
      <sz val="16"/>
      <color rgb="FF000000"/>
      <name val="Aptos Narrow"/>
      <scheme val="minor"/>
    </font>
    <font>
      <b/>
      <sz val="11"/>
      <color rgb="FF000000"/>
      <name val="Aptos Narrow"/>
      <family val="2"/>
      <scheme val="minor"/>
    </font>
    <font>
      <b/>
      <sz val="12"/>
      <color rgb="FF000000"/>
      <name val="Aptos Narrow"/>
      <family val="2"/>
      <scheme val="minor"/>
    </font>
    <font>
      <b/>
      <sz val="11"/>
      <name val="Aptos Narrow"/>
      <family val="2"/>
      <scheme val="minor"/>
    </font>
    <font>
      <sz val="11"/>
      <color rgb="FF000000"/>
      <name val="Aptos Narrow"/>
      <charset val="1"/>
    </font>
    <font>
      <sz val="11"/>
      <color rgb="FF242424"/>
      <name val="Aptos Narrow"/>
      <charset val="1"/>
    </font>
    <font>
      <sz val="11"/>
      <name val="Calibri"/>
    </font>
    <font>
      <sz val="11"/>
      <color rgb="FF000000"/>
      <name val="Calibri"/>
    </font>
    <font>
      <sz val="11"/>
      <color rgb="FF000000"/>
      <name val="Aptos Narrow"/>
      <family val="2"/>
    </font>
    <font>
      <sz val="11"/>
      <color rgb="FF000000"/>
      <name val="Calibri"/>
      <family val="2"/>
    </font>
    <font>
      <sz val="12"/>
      <color rgb="FF000000"/>
      <name val="Calibri"/>
    </font>
    <font>
      <sz val="12"/>
      <color rgb="FF000000"/>
      <name val="Calibri"/>
      <family val="2"/>
    </font>
    <font>
      <sz val="11"/>
      <color rgb="FF000000"/>
      <name val="Calibri"/>
      <charset val="1"/>
    </font>
    <font>
      <sz val="12"/>
      <color theme="1"/>
      <name val="Times New Roman"/>
      <family val="1"/>
    </font>
    <font>
      <sz val="12"/>
      <color rgb="FF000000"/>
      <name val="Times New Roman"/>
      <family val="1"/>
    </font>
    <font>
      <sz val="12"/>
      <name val="Times New Roman"/>
      <family val="1"/>
    </font>
    <font>
      <sz val="12"/>
      <color rgb="FF000000"/>
      <name val="Calibri"/>
      <family val="2"/>
      <charset val="1"/>
    </font>
    <font>
      <sz val="11"/>
      <name val="Calibri"/>
      <family val="2"/>
    </font>
    <font>
      <sz val="12"/>
      <color theme="1"/>
      <name val="Times New Roman"/>
      <family val="1"/>
      <charset val="1"/>
    </font>
    <font>
      <sz val="10"/>
      <color theme="1"/>
      <name val="Times New Roman"/>
      <family val="1"/>
      <charset val="1"/>
    </font>
    <font>
      <sz val="12"/>
      <name val="Calibri"/>
      <family val="2"/>
    </font>
    <font>
      <sz val="11"/>
      <color theme="1"/>
      <name val="Times New Roman"/>
      <family val="1"/>
      <charset val="1"/>
    </font>
    <font>
      <sz val="12"/>
      <color rgb="FF000000"/>
      <name val="Times New Roman"/>
    </font>
    <font>
      <sz val="11"/>
      <name val="Aptos Narrow"/>
      <family val="2"/>
      <scheme val="minor"/>
    </font>
    <font>
      <sz val="12"/>
      <color rgb="FF000000"/>
      <name val="Arial Narrow"/>
      <family val="2"/>
    </font>
    <font>
      <sz val="11"/>
      <color theme="1"/>
      <name val="Aptos Narrow"/>
      <scheme val="minor"/>
    </font>
    <font>
      <b/>
      <sz val="12"/>
      <color rgb="FF000000"/>
      <name val="Calibri"/>
      <family val="2"/>
    </font>
    <font>
      <sz val="12"/>
      <color theme="1"/>
      <name val="Calibri"/>
      <family val="2"/>
    </font>
    <font>
      <b/>
      <sz val="12"/>
      <color rgb="FF000000"/>
      <name val="Calibri"/>
    </font>
    <font>
      <sz val="12"/>
      <color theme="1"/>
      <name val="Calibri"/>
    </font>
    <font>
      <sz val="12"/>
      <color theme="1"/>
      <name val="Aptos Narrow"/>
      <family val="2"/>
      <scheme val="minor"/>
    </font>
    <font>
      <sz val="11"/>
      <color theme="1"/>
      <name val="Calibri"/>
      <family val="2"/>
    </font>
    <font>
      <b/>
      <sz val="11"/>
      <color rgb="FF000000"/>
      <name val="Aptos Narrow"/>
      <scheme val="minor"/>
    </font>
    <font>
      <sz val="11"/>
      <color rgb="FF000000"/>
      <name val="Times New Roman"/>
      <family val="1"/>
    </font>
    <font>
      <sz val="10"/>
      <color rgb="FF000000"/>
      <name val="Aptos Display"/>
      <scheme val="major"/>
    </font>
    <font>
      <sz val="11"/>
      <color rgb="FF000000"/>
      <name val="Aptos Display"/>
      <scheme val="major"/>
    </font>
    <font>
      <sz val="10"/>
      <color rgb="FF000000"/>
      <name val="Symbol"/>
    </font>
    <font>
      <sz val="10"/>
      <color rgb="FF000000"/>
      <name val="Symbol"/>
      <charset val="1"/>
    </font>
    <font>
      <sz val="10"/>
      <color theme="1"/>
      <name val="Aptos Narrow"/>
      <scheme val="minor"/>
    </font>
    <font>
      <sz val="11"/>
      <color rgb="FF000000"/>
      <name val="Times New Roman"/>
    </font>
    <font>
      <b/>
      <sz val="12"/>
      <color rgb="FF000000"/>
      <name val="Times New Roman"/>
    </font>
    <font>
      <sz val="12"/>
      <color rgb="FF000000"/>
      <name val="Times New Roman"/>
      <family val="1"/>
      <charset val="1"/>
    </font>
    <font>
      <b/>
      <sz val="12"/>
      <color theme="1"/>
      <name val="Times New Roman"/>
      <family val="1"/>
      <charset val="1"/>
    </font>
    <font>
      <sz val="11"/>
      <name val="Aptos Narrow"/>
    </font>
    <font>
      <sz val="11"/>
      <color rgb="FF000000"/>
      <name val="Aptos Narrow"/>
    </font>
    <font>
      <sz val="12"/>
      <color rgb="FF242424"/>
      <name val="Aptos"/>
      <family val="2"/>
      <charset val="1"/>
    </font>
  </fonts>
  <fills count="9">
    <fill>
      <patternFill patternType="none"/>
    </fill>
    <fill>
      <patternFill patternType="gray125"/>
    </fill>
    <fill>
      <patternFill patternType="solid">
        <fgColor rgb="FF0070C0"/>
        <bgColor indexed="64"/>
      </patternFill>
    </fill>
    <fill>
      <patternFill patternType="solid">
        <fgColor rgb="FFFFFFFF"/>
        <bgColor rgb="FF000000"/>
      </patternFill>
    </fill>
    <fill>
      <patternFill patternType="solid">
        <fgColor rgb="FFFFC000"/>
        <bgColor rgb="FF000000"/>
      </patternFill>
    </fill>
    <fill>
      <patternFill patternType="solid">
        <fgColor rgb="FF4D93D9"/>
        <bgColor rgb="FF000000"/>
      </patternFill>
    </fill>
    <fill>
      <patternFill patternType="solid">
        <fgColor theme="3" tint="0.499984740745262"/>
        <bgColor indexed="64"/>
      </patternFill>
    </fill>
    <fill>
      <patternFill patternType="solid">
        <fgColor theme="0"/>
        <bgColor indexed="64"/>
      </patternFill>
    </fill>
    <fill>
      <patternFill patternType="solid">
        <fgColor rgb="FFFFFFFF"/>
        <bgColor indexed="64"/>
      </patternFill>
    </fill>
  </fills>
  <borders count="36">
    <border>
      <left/>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right style="thin">
        <color rgb="FF000000"/>
      </right>
      <top/>
      <bottom/>
      <diagonal/>
    </border>
    <border>
      <left/>
      <right/>
      <top style="thin">
        <color rgb="FF000000"/>
      </top>
      <bottom/>
      <diagonal/>
    </border>
    <border>
      <left style="thin">
        <color rgb="FF000000"/>
      </left>
      <right style="thin">
        <color rgb="FF000000"/>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rgb="FF000000"/>
      </right>
      <top/>
      <bottom style="thin">
        <color indexed="64"/>
      </bottom>
      <diagonal/>
    </border>
    <border>
      <left/>
      <right/>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top style="thin">
        <color rgb="FF000000"/>
      </top>
      <bottom/>
      <diagonal/>
    </border>
    <border>
      <left style="thin">
        <color indexed="64"/>
      </left>
      <right/>
      <top/>
      <bottom style="thin">
        <color indexed="64"/>
      </bottom>
      <diagonal/>
    </border>
    <border>
      <left style="thin">
        <color rgb="FF000000"/>
      </left>
      <right/>
      <top style="thin">
        <color rgb="FF000000"/>
      </top>
      <bottom style="double">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rgb="FF000000"/>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373">
    <xf numFmtId="0" fontId="0" fillId="0" borderId="0" xfId="0"/>
    <xf numFmtId="0" fontId="0" fillId="0" borderId="0" xfId="0" applyAlignment="1">
      <alignment horizontal="left" vertical="center"/>
    </xf>
    <xf numFmtId="0" fontId="3" fillId="0" borderId="0" xfId="0" applyFont="1" applyAlignment="1">
      <alignment vertical="center"/>
    </xf>
    <xf numFmtId="0" fontId="3" fillId="0" borderId="0" xfId="0" applyFont="1" applyAlignment="1">
      <alignment horizontal="lef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4" fillId="3" borderId="2" xfId="0" applyFont="1" applyFill="1" applyBorder="1" applyAlignment="1">
      <alignment vertical="top" wrapText="1"/>
    </xf>
    <xf numFmtId="0" fontId="5" fillId="3" borderId="2" xfId="0" applyFont="1" applyFill="1" applyBorder="1" applyAlignment="1">
      <alignment vertical="top" wrapText="1"/>
    </xf>
    <xf numFmtId="14" fontId="5" fillId="3" borderId="2" xfId="0" applyNumberFormat="1" applyFont="1" applyFill="1" applyBorder="1" applyAlignment="1">
      <alignment vertical="top" wrapText="1"/>
    </xf>
    <xf numFmtId="0" fontId="0" fillId="0" borderId="3" xfId="0" applyBorder="1" applyAlignment="1">
      <alignment wrapText="1"/>
    </xf>
    <xf numFmtId="0" fontId="0" fillId="0" borderId="2" xfId="0" applyBorder="1" applyAlignment="1">
      <alignment wrapText="1"/>
    </xf>
    <xf numFmtId="0" fontId="0" fillId="0" borderId="4" xfId="0" applyBorder="1"/>
    <xf numFmtId="0" fontId="6" fillId="0" borderId="0" xfId="0" applyFont="1"/>
    <xf numFmtId="0" fontId="7" fillId="4" borderId="0" xfId="0" applyFont="1" applyFill="1"/>
    <xf numFmtId="0" fontId="8" fillId="4" borderId="0" xfId="0" applyFont="1" applyFill="1"/>
    <xf numFmtId="0" fontId="9" fillId="5" borderId="3" xfId="0" applyFont="1" applyFill="1" applyBorder="1" applyAlignment="1">
      <alignment vertical="top" wrapText="1"/>
    </xf>
    <xf numFmtId="0" fontId="9" fillId="5" borderId="3" xfId="0" applyFont="1" applyFill="1" applyBorder="1" applyAlignment="1">
      <alignment vertical="top"/>
    </xf>
    <xf numFmtId="14" fontId="2" fillId="2" borderId="1" xfId="0" applyNumberFormat="1" applyFont="1" applyFill="1" applyBorder="1" applyAlignment="1">
      <alignment horizontal="left" vertical="center" wrapText="1"/>
    </xf>
    <xf numFmtId="14" fontId="0" fillId="0" borderId="3" xfId="0" applyNumberFormat="1" applyBorder="1" applyAlignment="1">
      <alignment wrapText="1"/>
    </xf>
    <xf numFmtId="14" fontId="0" fillId="0" borderId="2" xfId="0" applyNumberFormat="1" applyBorder="1" applyAlignment="1">
      <alignment wrapText="1"/>
    </xf>
    <xf numFmtId="14" fontId="0" fillId="0" borderId="4" xfId="0" applyNumberFormat="1" applyBorder="1"/>
    <xf numFmtId="0" fontId="6" fillId="0" borderId="4" xfId="0" applyFont="1" applyBorder="1" applyAlignment="1">
      <alignment wrapText="1"/>
    </xf>
    <xf numFmtId="10" fontId="5" fillId="3" borderId="2" xfId="0" applyNumberFormat="1" applyFont="1" applyFill="1" applyBorder="1" applyAlignment="1">
      <alignment vertical="top" wrapText="1"/>
    </xf>
    <xf numFmtId="10" fontId="0" fillId="0" borderId="3" xfId="0" applyNumberFormat="1" applyBorder="1" applyAlignment="1">
      <alignment wrapText="1"/>
    </xf>
    <xf numFmtId="10" fontId="0" fillId="0" borderId="2" xfId="0" applyNumberFormat="1" applyBorder="1" applyAlignment="1">
      <alignment wrapText="1"/>
    </xf>
    <xf numFmtId="10" fontId="0" fillId="0" borderId="4" xfId="0" applyNumberFormat="1" applyBorder="1"/>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49" fontId="4" fillId="3" borderId="2" xfId="0" applyNumberFormat="1" applyFont="1" applyFill="1" applyBorder="1" applyAlignment="1">
      <alignment vertical="top" wrapText="1"/>
    </xf>
    <xf numFmtId="49" fontId="0" fillId="0" borderId="3" xfId="0" applyNumberFormat="1" applyBorder="1" applyAlignment="1">
      <alignment wrapText="1"/>
    </xf>
    <xf numFmtId="49" fontId="0" fillId="0" borderId="2" xfId="0" applyNumberFormat="1" applyBorder="1" applyAlignment="1">
      <alignment wrapText="1"/>
    </xf>
    <xf numFmtId="49" fontId="0" fillId="0" borderId="4" xfId="0" applyNumberFormat="1" applyBorder="1"/>
    <xf numFmtId="49" fontId="5" fillId="3" borderId="2" xfId="0" applyNumberFormat="1" applyFont="1" applyFill="1" applyBorder="1" applyAlignment="1">
      <alignment vertical="top" wrapText="1"/>
    </xf>
    <xf numFmtId="0" fontId="6" fillId="0" borderId="0" xfId="0" applyFont="1" applyAlignment="1">
      <alignment wrapText="1"/>
    </xf>
    <xf numFmtId="0" fontId="6" fillId="0" borderId="13" xfId="0" applyFont="1" applyBorder="1" applyAlignment="1">
      <alignment wrapText="1"/>
    </xf>
    <xf numFmtId="0" fontId="6" fillId="0" borderId="16" xfId="0" applyFont="1" applyBorder="1" applyAlignment="1">
      <alignment wrapText="1"/>
    </xf>
    <xf numFmtId="49" fontId="4" fillId="3" borderId="4" xfId="0" applyNumberFormat="1" applyFont="1" applyFill="1" applyBorder="1" applyAlignment="1">
      <alignment vertical="top" wrapText="1"/>
    </xf>
    <xf numFmtId="0" fontId="8" fillId="0" borderId="4" xfId="0" applyFont="1" applyBorder="1"/>
    <xf numFmtId="0" fontId="3" fillId="0" borderId="4" xfId="0" applyFont="1" applyBorder="1"/>
    <xf numFmtId="9" fontId="5" fillId="3" borderId="2" xfId="1" applyFont="1" applyFill="1" applyBorder="1" applyAlignment="1">
      <alignment vertical="top" wrapText="1"/>
    </xf>
    <xf numFmtId="9" fontId="0" fillId="0" borderId="3" xfId="1" applyFont="1" applyBorder="1" applyAlignment="1">
      <alignment wrapText="1"/>
    </xf>
    <xf numFmtId="9" fontId="0" fillId="0" borderId="2" xfId="1" applyFont="1" applyBorder="1" applyAlignment="1">
      <alignment wrapText="1"/>
    </xf>
    <xf numFmtId="9" fontId="0" fillId="0" borderId="4" xfId="1" applyFont="1" applyBorder="1"/>
    <xf numFmtId="0" fontId="4" fillId="3" borderId="3" xfId="0" applyFont="1" applyFill="1" applyBorder="1" applyAlignment="1">
      <alignment vertical="top" wrapText="1"/>
    </xf>
    <xf numFmtId="0" fontId="6" fillId="0" borderId="3" xfId="0" applyFont="1" applyBorder="1" applyAlignment="1">
      <alignment wrapText="1"/>
    </xf>
    <xf numFmtId="0" fontId="8" fillId="0" borderId="3" xfId="0" applyFont="1" applyBorder="1"/>
    <xf numFmtId="0" fontId="3" fillId="0" borderId="3" xfId="0" applyFont="1" applyBorder="1"/>
    <xf numFmtId="0" fontId="0" fillId="0" borderId="3" xfId="0" applyBorder="1"/>
    <xf numFmtId="49" fontId="0" fillId="0" borderId="11" xfId="0" applyNumberFormat="1" applyBorder="1"/>
    <xf numFmtId="0" fontId="15" fillId="0" borderId="0" xfId="0" applyFont="1"/>
    <xf numFmtId="0" fontId="14" fillId="0" borderId="3" xfId="0" applyFont="1" applyBorder="1" applyAlignment="1">
      <alignment wrapText="1"/>
    </xf>
    <xf numFmtId="0" fontId="14" fillId="0" borderId="8" xfId="0" applyFont="1" applyBorder="1" applyAlignment="1">
      <alignment wrapText="1"/>
    </xf>
    <xf numFmtId="0" fontId="17" fillId="0" borderId="3" xfId="0" applyFont="1" applyBorder="1" applyAlignment="1">
      <alignment wrapText="1"/>
    </xf>
    <xf numFmtId="0" fontId="17" fillId="0" borderId="8" xfId="0" applyFont="1" applyBorder="1" applyAlignment="1">
      <alignment wrapText="1"/>
    </xf>
    <xf numFmtId="0" fontId="15" fillId="0" borderId="0" xfId="0" applyFont="1" applyAlignment="1">
      <alignment vertical="center"/>
    </xf>
    <xf numFmtId="0" fontId="0" fillId="0" borderId="0" xfId="0" applyAlignment="1">
      <alignment vertical="center"/>
    </xf>
    <xf numFmtId="0" fontId="13" fillId="3" borderId="3" xfId="0" applyFont="1" applyFill="1" applyBorder="1" applyAlignment="1">
      <alignment wrapText="1"/>
    </xf>
    <xf numFmtId="0" fontId="14" fillId="3" borderId="3" xfId="0" applyFont="1" applyFill="1" applyBorder="1" applyAlignment="1">
      <alignment wrapText="1"/>
    </xf>
    <xf numFmtId="0" fontId="14" fillId="0" borderId="3" xfId="0" applyFont="1" applyBorder="1" applyAlignment="1">
      <alignment vertical="center" wrapText="1"/>
    </xf>
    <xf numFmtId="0" fontId="19" fillId="0" borderId="3" xfId="0" applyFont="1" applyBorder="1"/>
    <xf numFmtId="14" fontId="5" fillId="3" borderId="2" xfId="0" applyNumberFormat="1" applyFont="1" applyFill="1" applyBorder="1" applyAlignment="1">
      <alignment horizontal="center" vertical="top" wrapText="1"/>
    </xf>
    <xf numFmtId="10" fontId="5" fillId="3" borderId="2" xfId="0" applyNumberFormat="1" applyFont="1" applyFill="1" applyBorder="1" applyAlignment="1">
      <alignment horizontal="center" vertical="top" wrapText="1"/>
    </xf>
    <xf numFmtId="14" fontId="0" fillId="0" borderId="3" xfId="0" applyNumberFormat="1" applyBorder="1" applyAlignment="1">
      <alignment horizontal="center" wrapText="1"/>
    </xf>
    <xf numFmtId="10" fontId="0" fillId="0" borderId="3" xfId="0" applyNumberFormat="1" applyBorder="1" applyAlignment="1">
      <alignment horizontal="center" wrapText="1"/>
    </xf>
    <xf numFmtId="14" fontId="0" fillId="0" borderId="2" xfId="0" applyNumberFormat="1" applyBorder="1" applyAlignment="1">
      <alignment horizontal="center" wrapText="1"/>
    </xf>
    <xf numFmtId="10" fontId="0" fillId="0" borderId="2" xfId="0" applyNumberFormat="1" applyBorder="1" applyAlignment="1">
      <alignment horizontal="center" wrapText="1"/>
    </xf>
    <xf numFmtId="49" fontId="2" fillId="2" borderId="21" xfId="0" applyNumberFormat="1" applyFont="1" applyFill="1" applyBorder="1" applyAlignment="1">
      <alignment horizontal="center" vertical="center" wrapText="1"/>
    </xf>
    <xf numFmtId="49" fontId="4" fillId="3" borderId="22" xfId="0" applyNumberFormat="1" applyFont="1" applyFill="1" applyBorder="1" applyAlignment="1">
      <alignment vertical="top" wrapText="1"/>
    </xf>
    <xf numFmtId="0" fontId="4" fillId="3" borderId="22" xfId="0" applyFont="1" applyFill="1" applyBorder="1" applyAlignment="1">
      <alignment vertical="top" wrapText="1"/>
    </xf>
    <xf numFmtId="0" fontId="8" fillId="0" borderId="19" xfId="0" applyFont="1" applyBorder="1"/>
    <xf numFmtId="49" fontId="2" fillId="2" borderId="16" xfId="0" applyNumberFormat="1" applyFont="1" applyFill="1" applyBorder="1" applyAlignment="1">
      <alignment horizontal="center" vertical="center" wrapText="1"/>
    </xf>
    <xf numFmtId="49" fontId="0" fillId="0" borderId="7" xfId="0" applyNumberFormat="1" applyBorder="1" applyAlignment="1">
      <alignment wrapText="1"/>
    </xf>
    <xf numFmtId="49" fontId="2" fillId="2" borderId="3" xfId="0" applyNumberFormat="1" applyFont="1" applyFill="1" applyBorder="1" applyAlignment="1">
      <alignment horizontal="left" vertical="center" wrapText="1"/>
    </xf>
    <xf numFmtId="0" fontId="23" fillId="0" borderId="3" xfId="0" applyFont="1" applyBorder="1" applyAlignment="1">
      <alignment wrapText="1" readingOrder="1"/>
    </xf>
    <xf numFmtId="49" fontId="0" fillId="0" borderId="3" xfId="0" applyNumberFormat="1" applyBorder="1"/>
    <xf numFmtId="0" fontId="23" fillId="0" borderId="0" xfId="0" applyFont="1" applyAlignment="1">
      <alignment wrapText="1"/>
    </xf>
    <xf numFmtId="49" fontId="4" fillId="3" borderId="3" xfId="0" applyNumberFormat="1" applyFont="1" applyFill="1" applyBorder="1" applyAlignment="1">
      <alignment vertical="top" wrapText="1"/>
    </xf>
    <xf numFmtId="0" fontId="23" fillId="0" borderId="8" xfId="0" applyFont="1" applyBorder="1" applyAlignment="1">
      <alignment wrapText="1"/>
    </xf>
    <xf numFmtId="0" fontId="23" fillId="0" borderId="18" xfId="0" applyFont="1" applyBorder="1" applyAlignment="1">
      <alignment wrapText="1" readingOrder="1"/>
    </xf>
    <xf numFmtId="0" fontId="23" fillId="0" borderId="10" xfId="0" applyFont="1" applyBorder="1" applyAlignment="1">
      <alignment wrapText="1"/>
    </xf>
    <xf numFmtId="0" fontId="23" fillId="0" borderId="22" xfId="0" applyFont="1" applyBorder="1" applyAlignment="1">
      <alignment wrapText="1"/>
    </xf>
    <xf numFmtId="49" fontId="0" fillId="0" borderId="8" xfId="0" applyNumberFormat="1" applyBorder="1" applyAlignment="1">
      <alignment wrapText="1"/>
    </xf>
    <xf numFmtId="0" fontId="23" fillId="0" borderId="24" xfId="0" applyFont="1" applyBorder="1" applyAlignment="1">
      <alignment wrapText="1"/>
    </xf>
    <xf numFmtId="0" fontId="23" fillId="0" borderId="25" xfId="0" applyFont="1" applyBorder="1" applyAlignment="1">
      <alignment wrapText="1"/>
    </xf>
    <xf numFmtId="0" fontId="23" fillId="0" borderId="3" xfId="0" applyFont="1" applyBorder="1" applyAlignment="1">
      <alignment wrapText="1"/>
    </xf>
    <xf numFmtId="0" fontId="23" fillId="0" borderId="2" xfId="0" applyFont="1" applyBorder="1" applyAlignment="1">
      <alignment wrapText="1"/>
    </xf>
    <xf numFmtId="0" fontId="11" fillId="0" borderId="0" xfId="0" applyFont="1" applyAlignment="1">
      <alignment wrapText="1"/>
    </xf>
    <xf numFmtId="0" fontId="12" fillId="0" borderId="0" xfId="0" applyFont="1" applyAlignment="1">
      <alignment wrapText="1"/>
    </xf>
    <xf numFmtId="49" fontId="0" fillId="0" borderId="4" xfId="0" applyNumberFormat="1" applyBorder="1" applyAlignment="1">
      <alignment wrapText="1"/>
    </xf>
    <xf numFmtId="49" fontId="0" fillId="0" borderId="1" xfId="0" applyNumberFormat="1" applyBorder="1" applyAlignment="1">
      <alignment wrapText="1"/>
    </xf>
    <xf numFmtId="49" fontId="0" fillId="0" borderId="1" xfId="0" applyNumberFormat="1" applyBorder="1"/>
    <xf numFmtId="49" fontId="5" fillId="3" borderId="2" xfId="1" applyNumberFormat="1" applyFont="1" applyFill="1" applyBorder="1" applyAlignment="1">
      <alignment vertical="top" wrapText="1"/>
    </xf>
    <xf numFmtId="49" fontId="0" fillId="0" borderId="3" xfId="1" applyNumberFormat="1" applyFont="1" applyBorder="1" applyAlignment="1">
      <alignment wrapText="1"/>
    </xf>
    <xf numFmtId="49" fontId="5" fillId="3" borderId="22" xfId="0" applyNumberFormat="1" applyFont="1" applyFill="1" applyBorder="1" applyAlignment="1">
      <alignment vertical="top" wrapText="1"/>
    </xf>
    <xf numFmtId="49" fontId="0" fillId="0" borderId="5" xfId="0" applyNumberFormat="1" applyBorder="1" applyAlignment="1">
      <alignment wrapText="1"/>
    </xf>
    <xf numFmtId="49" fontId="0" fillId="0" borderId="22" xfId="0" applyNumberFormat="1" applyBorder="1" applyAlignment="1">
      <alignment wrapText="1"/>
    </xf>
    <xf numFmtId="0" fontId="5" fillId="3" borderId="10" xfId="0" applyFont="1" applyFill="1" applyBorder="1" applyAlignment="1">
      <alignment vertical="top" wrapText="1"/>
    </xf>
    <xf numFmtId="0" fontId="0" fillId="0" borderId="7" xfId="0" applyBorder="1" applyAlignment="1">
      <alignment wrapText="1"/>
    </xf>
    <xf numFmtId="0" fontId="0" fillId="0" borderId="10" xfId="0" applyBorder="1" applyAlignment="1">
      <alignment wrapText="1"/>
    </xf>
    <xf numFmtId="0" fontId="0" fillId="0" borderId="11" xfId="0" applyBorder="1"/>
    <xf numFmtId="49" fontId="0" fillId="0" borderId="19" xfId="0" applyNumberFormat="1" applyBorder="1" applyAlignment="1">
      <alignment wrapText="1"/>
    </xf>
    <xf numFmtId="49" fontId="0" fillId="0" borderId="21" xfId="0" applyNumberFormat="1" applyBorder="1" applyAlignment="1">
      <alignment wrapText="1"/>
    </xf>
    <xf numFmtId="49" fontId="0" fillId="0" borderId="16" xfId="0" applyNumberFormat="1" applyBorder="1"/>
    <xf numFmtId="0" fontId="7" fillId="4" borderId="8" xfId="0" applyFont="1" applyFill="1" applyBorder="1"/>
    <xf numFmtId="0" fontId="0" fillId="0" borderId="8" xfId="0" applyBorder="1" applyAlignment="1">
      <alignment horizontal="left" vertical="center"/>
    </xf>
    <xf numFmtId="1" fontId="6" fillId="0" borderId="9" xfId="0" applyNumberFormat="1" applyFont="1" applyBorder="1"/>
    <xf numFmtId="1" fontId="8" fillId="0" borderId="8" xfId="0" applyNumberFormat="1" applyFont="1" applyBorder="1"/>
    <xf numFmtId="1" fontId="6" fillId="0" borderId="7" xfId="0" applyNumberFormat="1" applyFont="1" applyBorder="1"/>
    <xf numFmtId="1" fontId="6" fillId="0" borderId="3" xfId="0" applyNumberFormat="1" applyFont="1" applyBorder="1"/>
    <xf numFmtId="1" fontId="6" fillId="0" borderId="10" xfId="0" applyNumberFormat="1" applyFont="1" applyBorder="1"/>
    <xf numFmtId="1" fontId="6" fillId="0" borderId="2" xfId="0" applyNumberFormat="1" applyFont="1" applyBorder="1"/>
    <xf numFmtId="0" fontId="3" fillId="0" borderId="2" xfId="0" applyFont="1" applyBorder="1"/>
    <xf numFmtId="0" fontId="0" fillId="0" borderId="8" xfId="0" applyBorder="1"/>
    <xf numFmtId="0" fontId="20" fillId="0" borderId="3" xfId="0" applyFont="1" applyBorder="1" applyAlignment="1">
      <alignment vertical="center" wrapText="1"/>
    </xf>
    <xf numFmtId="0" fontId="22" fillId="0" borderId="3" xfId="0" applyFont="1" applyBorder="1" applyAlignment="1">
      <alignment horizontal="left" vertical="center" wrapText="1"/>
    </xf>
    <xf numFmtId="0" fontId="24" fillId="0" borderId="4" xfId="0" applyFont="1" applyBorder="1" applyAlignment="1">
      <alignment wrapText="1"/>
    </xf>
    <xf numFmtId="0" fontId="24" fillId="0" borderId="3" xfId="0" applyFont="1" applyBorder="1" applyAlignment="1">
      <alignment wrapText="1"/>
    </xf>
    <xf numFmtId="49" fontId="5" fillId="3" borderId="10" xfId="0" applyNumberFormat="1" applyFont="1" applyFill="1" applyBorder="1" applyAlignment="1">
      <alignment vertical="top" wrapText="1"/>
    </xf>
    <xf numFmtId="49" fontId="4" fillId="3" borderId="26" xfId="0" applyNumberFormat="1" applyFont="1" applyFill="1" applyBorder="1" applyAlignment="1">
      <alignment vertical="top" wrapText="1"/>
    </xf>
    <xf numFmtId="0" fontId="21" fillId="0" borderId="3" xfId="0" applyFont="1" applyBorder="1" applyAlignment="1">
      <alignment wrapText="1"/>
    </xf>
    <xf numFmtId="0" fontId="0" fillId="0" borderId="11" xfId="0" applyBorder="1" applyAlignment="1">
      <alignment wrapText="1"/>
    </xf>
    <xf numFmtId="49" fontId="30" fillId="3" borderId="2" xfId="0" applyNumberFormat="1" applyFont="1" applyFill="1" applyBorder="1" applyAlignment="1">
      <alignment vertical="top" wrapText="1"/>
    </xf>
    <xf numFmtId="49" fontId="4"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left" vertical="center" wrapText="1"/>
    </xf>
    <xf numFmtId="0" fontId="5" fillId="3" borderId="2" xfId="0" applyFont="1" applyFill="1" applyBorder="1" applyAlignment="1">
      <alignment horizontal="left" vertical="center" wrapText="1"/>
    </xf>
    <xf numFmtId="14" fontId="5" fillId="3" borderId="2" xfId="0" applyNumberFormat="1" applyFont="1" applyFill="1" applyBorder="1" applyAlignment="1">
      <alignment horizontal="left" vertical="center" wrapText="1"/>
    </xf>
    <xf numFmtId="49" fontId="4" fillId="3" borderId="2" xfId="0" applyNumberFormat="1" applyFont="1" applyFill="1" applyBorder="1" applyAlignment="1">
      <alignment vertical="center" wrapText="1"/>
    </xf>
    <xf numFmtId="0" fontId="13" fillId="0" borderId="4" xfId="0" applyFont="1" applyBorder="1" applyAlignment="1">
      <alignment vertical="center" wrapText="1"/>
    </xf>
    <xf numFmtId="49" fontId="5" fillId="3" borderId="2" xfId="0" applyNumberFormat="1" applyFont="1" applyFill="1" applyBorder="1" applyAlignment="1">
      <alignment vertical="center" wrapText="1"/>
    </xf>
    <xf numFmtId="0" fontId="5" fillId="3" borderId="2" xfId="0" applyFont="1" applyFill="1" applyBorder="1" applyAlignment="1">
      <alignment vertical="center" wrapText="1"/>
    </xf>
    <xf numFmtId="14" fontId="5" fillId="3" borderId="2" xfId="0" applyNumberFormat="1" applyFont="1" applyFill="1" applyBorder="1" applyAlignment="1">
      <alignment vertical="center" wrapText="1"/>
    </xf>
    <xf numFmtId="0" fontId="13" fillId="0" borderId="15" xfId="0" applyFont="1" applyBorder="1" applyAlignment="1">
      <alignment vertical="center" wrapText="1"/>
    </xf>
    <xf numFmtId="49" fontId="0" fillId="0" borderId="3" xfId="0" applyNumberFormat="1" applyBorder="1" applyAlignment="1">
      <alignment vertical="center" wrapText="1"/>
    </xf>
    <xf numFmtId="14" fontId="0" fillId="0" borderId="3" xfId="0" applyNumberFormat="1" applyBorder="1" applyAlignment="1">
      <alignment vertical="center" wrapText="1"/>
    </xf>
    <xf numFmtId="49" fontId="4" fillId="3" borderId="3" xfId="0" applyNumberFormat="1" applyFont="1" applyFill="1" applyBorder="1" applyAlignment="1">
      <alignment vertical="center" wrapText="1"/>
    </xf>
    <xf numFmtId="49" fontId="6" fillId="3" borderId="2" xfId="0" applyNumberFormat="1" applyFont="1" applyFill="1" applyBorder="1" applyAlignment="1">
      <alignment vertical="center" wrapText="1"/>
    </xf>
    <xf numFmtId="0" fontId="6" fillId="3" borderId="2" xfId="0" applyFont="1" applyFill="1" applyBorder="1" applyAlignment="1">
      <alignment vertical="center" wrapText="1"/>
    </xf>
    <xf numFmtId="49" fontId="6" fillId="3" borderId="3" xfId="0" applyNumberFormat="1" applyFont="1" applyFill="1" applyBorder="1" applyAlignment="1">
      <alignment vertical="center" wrapText="1"/>
    </xf>
    <xf numFmtId="0" fontId="6" fillId="3" borderId="3" xfId="0" applyFont="1" applyFill="1" applyBorder="1" applyAlignment="1">
      <alignment vertical="center" wrapText="1"/>
    </xf>
    <xf numFmtId="0" fontId="16" fillId="0" borderId="4" xfId="0" applyFont="1" applyBorder="1" applyAlignment="1">
      <alignment wrapText="1"/>
    </xf>
    <xf numFmtId="49" fontId="4" fillId="3" borderId="27" xfId="0" applyNumberFormat="1" applyFont="1" applyFill="1" applyBorder="1" applyAlignment="1">
      <alignment vertical="top" wrapText="1"/>
    </xf>
    <xf numFmtId="0" fontId="24" fillId="0" borderId="1" xfId="0" applyFont="1" applyBorder="1" applyAlignment="1">
      <alignment wrapText="1"/>
    </xf>
    <xf numFmtId="49" fontId="4" fillId="3" borderId="28" xfId="0" applyNumberFormat="1" applyFont="1" applyFill="1" applyBorder="1" applyAlignment="1">
      <alignment vertical="top" wrapText="1"/>
    </xf>
    <xf numFmtId="0" fontId="24" fillId="0" borderId="15" xfId="0" applyFont="1" applyBorder="1" applyAlignment="1">
      <alignment wrapText="1"/>
    </xf>
    <xf numFmtId="49" fontId="4" fillId="3" borderId="0" xfId="0" applyNumberFormat="1" applyFont="1" applyFill="1" applyAlignment="1">
      <alignment vertical="top" wrapText="1"/>
    </xf>
    <xf numFmtId="1" fontId="6" fillId="0" borderId="12" xfId="0" applyNumberFormat="1" applyFont="1" applyBorder="1"/>
    <xf numFmtId="1" fontId="6" fillId="0" borderId="10" xfId="0" applyNumberFormat="1" applyFont="1" applyBorder="1" applyAlignment="1">
      <alignment wrapText="1"/>
    </xf>
    <xf numFmtId="0" fontId="16" fillId="0" borderId="3" xfId="0" applyFont="1" applyBorder="1" applyAlignment="1">
      <alignment wrapText="1"/>
    </xf>
    <xf numFmtId="0" fontId="13" fillId="3" borderId="5" xfId="0" applyFont="1" applyFill="1" applyBorder="1" applyAlignment="1">
      <alignment wrapText="1"/>
    </xf>
    <xf numFmtId="0" fontId="19" fillId="0" borderId="3" xfId="0" applyFont="1" applyBorder="1" applyAlignment="1">
      <alignment wrapText="1"/>
    </xf>
    <xf numFmtId="0" fontId="19" fillId="0" borderId="5" xfId="0" applyFont="1" applyBorder="1" applyAlignment="1">
      <alignment vertical="center"/>
    </xf>
    <xf numFmtId="0" fontId="14" fillId="0" borderId="7" xfId="0" applyFont="1" applyBorder="1" applyAlignment="1">
      <alignment vertical="center" wrapText="1"/>
    </xf>
    <xf numFmtId="0" fontId="19" fillId="0" borderId="2" xfId="0" applyFont="1" applyBorder="1"/>
    <xf numFmtId="14" fontId="19" fillId="0" borderId="2" xfId="0" applyNumberFormat="1" applyFont="1" applyBorder="1"/>
    <xf numFmtId="0" fontId="15" fillId="0" borderId="3" xfId="0" applyFont="1" applyBorder="1" applyAlignment="1">
      <alignment wrapText="1"/>
    </xf>
    <xf numFmtId="0" fontId="31" fillId="3" borderId="3" xfId="0" applyFont="1" applyFill="1" applyBorder="1" applyAlignment="1">
      <alignment wrapText="1"/>
    </xf>
    <xf numFmtId="14" fontId="16" fillId="0" borderId="3" xfId="0" applyNumberFormat="1" applyFont="1" applyBorder="1" applyAlignment="1">
      <alignment wrapText="1"/>
    </xf>
    <xf numFmtId="0" fontId="16" fillId="3" borderId="3" xfId="0" applyFont="1" applyFill="1" applyBorder="1" applyAlignment="1">
      <alignment wrapText="1" readingOrder="1"/>
    </xf>
    <xf numFmtId="0" fontId="15" fillId="0" borderId="3" xfId="0" applyFont="1" applyBorder="1"/>
    <xf numFmtId="0" fontId="4" fillId="0" borderId="4" xfId="0" applyFont="1" applyBorder="1" applyAlignment="1">
      <alignment horizontal="left" vertical="center" wrapText="1"/>
    </xf>
    <xf numFmtId="0" fontId="4" fillId="0" borderId="15" xfId="0" applyFont="1" applyBorder="1" applyAlignment="1">
      <alignment horizontal="left" vertical="center" wrapText="1"/>
    </xf>
    <xf numFmtId="49" fontId="32" fillId="0" borderId="3" xfId="0" applyNumberFormat="1" applyFont="1" applyBorder="1" applyAlignment="1">
      <alignment horizontal="left" vertical="center" wrapText="1"/>
    </xf>
    <xf numFmtId="0" fontId="32" fillId="0" borderId="3" xfId="0" applyFont="1" applyBorder="1" applyAlignment="1">
      <alignment horizontal="left" vertical="center" wrapText="1"/>
    </xf>
    <xf numFmtId="0" fontId="4" fillId="0" borderId="20" xfId="0" applyFont="1" applyBorder="1" applyAlignment="1">
      <alignment wrapText="1"/>
    </xf>
    <xf numFmtId="49" fontId="32" fillId="0" borderId="2" xfId="0" applyNumberFormat="1" applyFont="1" applyBorder="1" applyAlignment="1">
      <alignment wrapText="1"/>
    </xf>
    <xf numFmtId="0" fontId="32" fillId="0" borderId="2" xfId="0" applyFont="1" applyBorder="1" applyAlignment="1">
      <alignment wrapText="1"/>
    </xf>
    <xf numFmtId="9" fontId="32" fillId="0" borderId="2" xfId="1" applyFont="1" applyBorder="1" applyAlignment="1">
      <alignment wrapText="1"/>
    </xf>
    <xf numFmtId="49" fontId="5" fillId="3" borderId="7" xfId="0" applyNumberFormat="1" applyFont="1" applyFill="1" applyBorder="1" applyAlignment="1">
      <alignment horizontal="left" vertical="center" wrapText="1"/>
    </xf>
    <xf numFmtId="0" fontId="32" fillId="0" borderId="3" xfId="0" applyFont="1" applyBorder="1" applyAlignment="1">
      <alignment wrapText="1"/>
    </xf>
    <xf numFmtId="14" fontId="5" fillId="3" borderId="3" xfId="0" applyNumberFormat="1" applyFont="1" applyFill="1" applyBorder="1" applyAlignment="1">
      <alignment horizontal="left" vertical="center" wrapText="1"/>
    </xf>
    <xf numFmtId="9" fontId="32" fillId="0" borderId="3" xfId="1" applyFont="1" applyBorder="1" applyAlignment="1">
      <alignment wrapText="1"/>
    </xf>
    <xf numFmtId="0" fontId="32" fillId="0" borderId="3" xfId="0" applyFont="1" applyBorder="1"/>
    <xf numFmtId="0" fontId="32" fillId="0" borderId="5" xfId="0" applyFont="1" applyBorder="1" applyAlignment="1">
      <alignment wrapText="1"/>
    </xf>
    <xf numFmtId="0" fontId="13" fillId="0" borderId="4" xfId="0" applyFont="1" applyBorder="1" applyAlignment="1">
      <alignment wrapText="1"/>
    </xf>
    <xf numFmtId="0" fontId="13" fillId="0" borderId="15" xfId="0" applyFont="1" applyBorder="1" applyAlignment="1">
      <alignment wrapText="1"/>
    </xf>
    <xf numFmtId="0" fontId="32" fillId="0" borderId="22" xfId="0" applyFont="1" applyBorder="1" applyAlignment="1">
      <alignment wrapText="1"/>
    </xf>
    <xf numFmtId="0" fontId="32" fillId="0" borderId="8" xfId="0" applyFont="1" applyBorder="1"/>
    <xf numFmtId="49" fontId="6" fillId="3" borderId="2" xfId="0" applyNumberFormat="1" applyFont="1" applyFill="1" applyBorder="1" applyAlignment="1">
      <alignment vertical="top" wrapText="1"/>
    </xf>
    <xf numFmtId="0" fontId="6" fillId="3" borderId="2" xfId="0" applyFont="1" applyFill="1" applyBorder="1" applyAlignment="1">
      <alignment vertical="top" wrapText="1"/>
    </xf>
    <xf numFmtId="0" fontId="13" fillId="0" borderId="29" xfId="0" applyFont="1" applyBorder="1" applyAlignment="1">
      <alignment wrapText="1"/>
    </xf>
    <xf numFmtId="49" fontId="6" fillId="3" borderId="3" xfId="0" applyNumberFormat="1" applyFont="1" applyFill="1" applyBorder="1" applyAlignment="1">
      <alignment vertical="top" wrapText="1"/>
    </xf>
    <xf numFmtId="14" fontId="6" fillId="3" borderId="2" xfId="0" applyNumberFormat="1" applyFont="1" applyFill="1" applyBorder="1" applyAlignment="1">
      <alignment vertical="top" wrapText="1"/>
    </xf>
    <xf numFmtId="14" fontId="6" fillId="3" borderId="3" xfId="0" applyNumberFormat="1" applyFont="1" applyFill="1" applyBorder="1" applyAlignment="1">
      <alignment vertical="top" wrapText="1"/>
    </xf>
    <xf numFmtId="0" fontId="32" fillId="0" borderId="4" xfId="0" applyFont="1" applyBorder="1" applyAlignment="1">
      <alignment vertical="center" wrapText="1"/>
    </xf>
    <xf numFmtId="0" fontId="5" fillId="0" borderId="4" xfId="0" applyFont="1" applyBorder="1" applyAlignment="1">
      <alignment horizontal="left" vertical="center" wrapText="1"/>
    </xf>
    <xf numFmtId="14" fontId="32" fillId="0" borderId="3" xfId="0" applyNumberFormat="1" applyFont="1" applyBorder="1" applyAlignment="1">
      <alignment wrapText="1"/>
    </xf>
    <xf numFmtId="0" fontId="5" fillId="0" borderId="4" xfId="0" applyFont="1" applyBorder="1" applyAlignment="1">
      <alignment horizontal="center" vertical="center" wrapText="1"/>
    </xf>
    <xf numFmtId="49" fontId="32" fillId="0" borderId="3" xfId="0" applyNumberFormat="1" applyFont="1" applyBorder="1" applyAlignment="1">
      <alignment wrapText="1"/>
    </xf>
    <xf numFmtId="14" fontId="32" fillId="0" borderId="2" xfId="0" applyNumberFormat="1" applyFont="1" applyBorder="1" applyAlignment="1">
      <alignment wrapText="1"/>
    </xf>
    <xf numFmtId="0" fontId="32" fillId="0" borderId="4" xfId="0" applyFont="1" applyBorder="1"/>
    <xf numFmtId="14" fontId="32" fillId="0" borderId="4" xfId="0" applyNumberFormat="1" applyFont="1" applyBorder="1"/>
    <xf numFmtId="9" fontId="32" fillId="0" borderId="4" xfId="1" applyFont="1" applyBorder="1"/>
    <xf numFmtId="49" fontId="32" fillId="0" borderId="4" xfId="0" applyNumberFormat="1" applyFont="1" applyBorder="1" applyAlignment="1">
      <alignment wrapText="1"/>
    </xf>
    <xf numFmtId="49" fontId="32" fillId="0" borderId="4" xfId="0" applyNumberFormat="1" applyFont="1" applyBorder="1"/>
    <xf numFmtId="49" fontId="32" fillId="0" borderId="1" xfId="0" applyNumberFormat="1" applyFont="1" applyBorder="1" applyAlignment="1">
      <alignment wrapText="1"/>
    </xf>
    <xf numFmtId="0" fontId="32" fillId="0" borderId="4" xfId="0" applyFont="1" applyBorder="1" applyAlignment="1">
      <alignment wrapText="1"/>
    </xf>
    <xf numFmtId="0" fontId="18" fillId="0" borderId="11" xfId="0" applyFont="1" applyBorder="1" applyAlignment="1">
      <alignment wrapText="1"/>
    </xf>
    <xf numFmtId="0" fontId="18" fillId="3" borderId="11" xfId="0" applyFont="1" applyFill="1" applyBorder="1" applyAlignment="1">
      <alignment wrapText="1"/>
    </xf>
    <xf numFmtId="14" fontId="18" fillId="0" borderId="11" xfId="0" applyNumberFormat="1" applyFont="1" applyBorder="1" applyAlignment="1">
      <alignment wrapText="1"/>
    </xf>
    <xf numFmtId="0" fontId="33" fillId="0" borderId="11" xfId="0" applyFont="1" applyBorder="1" applyAlignment="1">
      <alignment wrapText="1"/>
    </xf>
    <xf numFmtId="0" fontId="34" fillId="0" borderId="3" xfId="0" applyFont="1" applyBorder="1" applyAlignment="1">
      <alignment vertical="center" wrapText="1"/>
    </xf>
    <xf numFmtId="0" fontId="18" fillId="0" borderId="30" xfId="0" applyFont="1" applyBorder="1" applyAlignment="1">
      <alignment wrapText="1"/>
    </xf>
    <xf numFmtId="0" fontId="18" fillId="3" borderId="30" xfId="0" applyFont="1" applyFill="1" applyBorder="1" applyAlignment="1">
      <alignment wrapText="1"/>
    </xf>
    <xf numFmtId="14" fontId="18" fillId="0" borderId="30" xfId="0" applyNumberFormat="1" applyFont="1" applyBorder="1" applyAlignment="1">
      <alignment wrapText="1"/>
    </xf>
    <xf numFmtId="0" fontId="35" fillId="0" borderId="30" xfId="0" applyFont="1" applyBorder="1" applyAlignment="1">
      <alignment wrapText="1"/>
    </xf>
    <xf numFmtId="0" fontId="36" fillId="0" borderId="3" xfId="0" applyFont="1" applyBorder="1" applyAlignment="1">
      <alignment vertical="center" wrapText="1"/>
    </xf>
    <xf numFmtId="0" fontId="33" fillId="0" borderId="30" xfId="0" applyFont="1" applyBorder="1" applyAlignment="1">
      <alignment wrapText="1"/>
    </xf>
    <xf numFmtId="0" fontId="37" fillId="0" borderId="3" xfId="0" applyFont="1" applyBorder="1" applyAlignment="1">
      <alignment vertical="center" wrapText="1"/>
    </xf>
    <xf numFmtId="0" fontId="0" fillId="0" borderId="3" xfId="0" applyBorder="1" applyAlignment="1">
      <alignment vertical="top" wrapText="1"/>
    </xf>
    <xf numFmtId="49" fontId="0" fillId="0" borderId="3" xfId="0" applyNumberFormat="1" applyBorder="1" applyAlignment="1">
      <alignment vertical="top" wrapText="1"/>
    </xf>
    <xf numFmtId="0" fontId="38" fillId="0" borderId="4" xfId="0" applyFont="1" applyBorder="1" applyAlignment="1">
      <alignment wrapText="1"/>
    </xf>
    <xf numFmtId="0" fontId="5" fillId="0" borderId="0" xfId="0" applyFont="1" applyAlignment="1">
      <alignment horizontal="left" vertical="top" wrapText="1"/>
    </xf>
    <xf numFmtId="0" fontId="32" fillId="0" borderId="0" xfId="0" applyFont="1" applyAlignment="1">
      <alignment vertical="top" wrapText="1"/>
    </xf>
    <xf numFmtId="0" fontId="40" fillId="0" borderId="3" xfId="0" applyFont="1" applyBorder="1" applyAlignment="1">
      <alignment wrapText="1"/>
    </xf>
    <xf numFmtId="0" fontId="40" fillId="0" borderId="4" xfId="0" applyFont="1" applyBorder="1" applyAlignment="1">
      <alignment wrapText="1"/>
    </xf>
    <xf numFmtId="0" fontId="15" fillId="3" borderId="2" xfId="0" applyFont="1" applyFill="1" applyBorder="1" applyAlignment="1">
      <alignment wrapText="1"/>
    </xf>
    <xf numFmtId="0" fontId="18" fillId="0" borderId="30" xfId="0" applyFont="1" applyBorder="1" applyAlignment="1">
      <alignment vertical="top" wrapText="1"/>
    </xf>
    <xf numFmtId="49" fontId="0" fillId="0" borderId="4" xfId="0" applyNumberFormat="1" applyBorder="1" applyAlignment="1">
      <alignment horizontal="left" vertical="top"/>
    </xf>
    <xf numFmtId="0" fontId="18" fillId="3" borderId="30" xfId="0" applyFont="1" applyFill="1" applyBorder="1" applyAlignment="1">
      <alignment vertical="top" wrapText="1"/>
    </xf>
    <xf numFmtId="14" fontId="0" fillId="0" borderId="4" xfId="0" applyNumberFormat="1" applyBorder="1" applyAlignment="1">
      <alignment vertical="top"/>
    </xf>
    <xf numFmtId="0" fontId="18" fillId="0" borderId="30" xfId="0" applyFont="1" applyBorder="1" applyAlignment="1">
      <alignment horizontal="left" vertical="top" wrapText="1"/>
    </xf>
    <xf numFmtId="49" fontId="0" fillId="0" borderId="4" xfId="0" applyNumberFormat="1" applyBorder="1" applyAlignment="1">
      <alignment vertical="top"/>
    </xf>
    <xf numFmtId="0" fontId="13" fillId="3" borderId="2" xfId="0" applyFont="1" applyFill="1" applyBorder="1" applyAlignment="1">
      <alignment vertical="top" wrapText="1"/>
    </xf>
    <xf numFmtId="0" fontId="14" fillId="3" borderId="2" xfId="0" applyFont="1" applyFill="1" applyBorder="1" applyAlignment="1">
      <alignment vertical="top" wrapText="1"/>
    </xf>
    <xf numFmtId="0" fontId="0" fillId="0" borderId="2" xfId="0" applyBorder="1"/>
    <xf numFmtId="10" fontId="0" fillId="0" borderId="4" xfId="0" applyNumberFormat="1" applyBorder="1" applyAlignment="1">
      <alignment horizontal="center"/>
    </xf>
    <xf numFmtId="14" fontId="0" fillId="0" borderId="4" xfId="0" applyNumberFormat="1" applyBorder="1" applyAlignment="1">
      <alignment horizontal="center"/>
    </xf>
    <xf numFmtId="0" fontId="26" fillId="0" borderId="3" xfId="0" applyFont="1" applyBorder="1" applyAlignment="1">
      <alignment wrapText="1"/>
    </xf>
    <xf numFmtId="0" fontId="41" fillId="0" borderId="3" xfId="0" applyFont="1" applyBorder="1" applyAlignment="1">
      <alignment wrapText="1"/>
    </xf>
    <xf numFmtId="0" fontId="44" fillId="0" borderId="3" xfId="0" applyFont="1" applyBorder="1" applyAlignment="1">
      <alignment wrapText="1"/>
    </xf>
    <xf numFmtId="0" fontId="45" fillId="0" borderId="3" xfId="0" applyFont="1" applyBorder="1" applyAlignment="1">
      <alignment wrapText="1"/>
    </xf>
    <xf numFmtId="0" fontId="46" fillId="0" borderId="3" xfId="0" applyFont="1" applyBorder="1" applyAlignment="1">
      <alignment wrapText="1"/>
    </xf>
    <xf numFmtId="49" fontId="30" fillId="3" borderId="3" xfId="0" applyNumberFormat="1" applyFont="1" applyFill="1" applyBorder="1" applyAlignment="1">
      <alignment vertical="top" wrapText="1"/>
    </xf>
    <xf numFmtId="0" fontId="48" fillId="0" borderId="3" xfId="0" applyFont="1" applyBorder="1" applyAlignment="1">
      <alignment wrapText="1"/>
    </xf>
    <xf numFmtId="0" fontId="29" fillId="0" borderId="3" xfId="0" applyFont="1" applyBorder="1" applyAlignment="1">
      <alignment vertical="top" wrapText="1"/>
    </xf>
    <xf numFmtId="0" fontId="25" fillId="0" borderId="3" xfId="0" applyFont="1" applyBorder="1" applyAlignment="1">
      <alignment vertical="top" wrapText="1"/>
    </xf>
    <xf numFmtId="0" fontId="25" fillId="0" borderId="3" xfId="0" applyFont="1" applyBorder="1" applyAlignment="1">
      <alignment horizontal="center" vertical="top" wrapText="1"/>
    </xf>
    <xf numFmtId="10" fontId="0" fillId="0" borderId="3" xfId="0" applyNumberFormat="1" applyBorder="1" applyAlignment="1">
      <alignment vertical="top" wrapText="1"/>
    </xf>
    <xf numFmtId="0" fontId="49" fillId="0" borderId="3" xfId="0" applyFont="1" applyBorder="1" applyAlignment="1">
      <alignment vertical="top" wrapText="1"/>
    </xf>
    <xf numFmtId="49" fontId="5" fillId="3" borderId="3" xfId="0" applyNumberFormat="1" applyFont="1" applyFill="1" applyBorder="1" applyAlignment="1">
      <alignment vertical="top" wrapText="1"/>
    </xf>
    <xf numFmtId="0" fontId="5" fillId="3" borderId="3" xfId="0" applyFont="1" applyFill="1" applyBorder="1" applyAlignment="1">
      <alignment vertical="top" wrapText="1"/>
    </xf>
    <xf numFmtId="14" fontId="5" fillId="3" borderId="3" xfId="0" applyNumberFormat="1" applyFont="1" applyFill="1" applyBorder="1" applyAlignment="1">
      <alignment vertical="top" wrapText="1"/>
    </xf>
    <xf numFmtId="10" fontId="5" fillId="3" borderId="3" xfId="0" applyNumberFormat="1" applyFont="1" applyFill="1" applyBorder="1" applyAlignment="1">
      <alignment vertical="top" wrapText="1"/>
    </xf>
    <xf numFmtId="14" fontId="25" fillId="0" borderId="3" xfId="0" applyNumberFormat="1" applyFont="1" applyBorder="1" applyAlignment="1">
      <alignment vertical="top" wrapText="1"/>
    </xf>
    <xf numFmtId="14" fontId="49" fillId="0" borderId="3" xfId="0" applyNumberFormat="1" applyFont="1" applyBorder="1" applyAlignment="1">
      <alignment vertical="top" wrapText="1"/>
    </xf>
    <xf numFmtId="0" fontId="15" fillId="3" borderId="3" xfId="0" applyFont="1" applyFill="1" applyBorder="1" applyAlignment="1">
      <alignment wrapText="1"/>
    </xf>
    <xf numFmtId="9" fontId="32" fillId="0" borderId="3" xfId="1" applyFont="1" applyBorder="1"/>
    <xf numFmtId="0" fontId="32" fillId="0" borderId="1" xfId="0" applyFont="1" applyBorder="1" applyAlignment="1">
      <alignment wrapText="1"/>
    </xf>
    <xf numFmtId="14" fontId="32" fillId="0" borderId="1" xfId="0" applyNumberFormat="1" applyFont="1" applyBorder="1"/>
    <xf numFmtId="9" fontId="32" fillId="0" borderId="1" xfId="1" applyFont="1" applyBorder="1"/>
    <xf numFmtId="14" fontId="0" fillId="0" borderId="26" xfId="0" applyNumberFormat="1" applyBorder="1" applyAlignment="1">
      <alignment wrapText="1"/>
    </xf>
    <xf numFmtId="10" fontId="0" fillId="0" borderId="26" xfId="0" applyNumberFormat="1" applyBorder="1" applyAlignment="1">
      <alignment wrapText="1"/>
    </xf>
    <xf numFmtId="49" fontId="0" fillId="0" borderId="7" xfId="0" applyNumberFormat="1" applyBorder="1"/>
    <xf numFmtId="0" fontId="16" fillId="0" borderId="3" xfId="0" applyFont="1" applyBorder="1" applyAlignment="1">
      <alignment wrapText="1" readingOrder="1"/>
    </xf>
    <xf numFmtId="9" fontId="5" fillId="3" borderId="3" xfId="1" applyFont="1" applyFill="1" applyBorder="1" applyAlignment="1">
      <alignment vertical="top" wrapText="1"/>
    </xf>
    <xf numFmtId="14" fontId="0" fillId="0" borderId="3" xfId="0" applyNumberFormat="1" applyBorder="1"/>
    <xf numFmtId="0" fontId="5" fillId="3" borderId="22" xfId="0" applyFont="1" applyFill="1" applyBorder="1" applyAlignment="1">
      <alignment vertical="center" wrapText="1"/>
    </xf>
    <xf numFmtId="0" fontId="6" fillId="3" borderId="22" xfId="0" applyFont="1" applyFill="1" applyBorder="1" applyAlignment="1">
      <alignment vertical="center" wrapText="1"/>
    </xf>
    <xf numFmtId="0" fontId="6" fillId="3" borderId="5" xfId="0" applyFont="1" applyFill="1" applyBorder="1" applyAlignment="1">
      <alignment vertical="center" wrapText="1"/>
    </xf>
    <xf numFmtId="0" fontId="21" fillId="0" borderId="3" xfId="0" applyFont="1" applyBorder="1" applyAlignment="1">
      <alignment horizontal="left" vertical="center" wrapText="1"/>
    </xf>
    <xf numFmtId="0" fontId="11" fillId="0" borderId="3" xfId="0" applyFont="1" applyBorder="1"/>
    <xf numFmtId="14" fontId="0" fillId="0" borderId="3" xfId="0" applyNumberFormat="1" applyBorder="1" applyAlignment="1">
      <alignment horizontal="left" wrapText="1"/>
    </xf>
    <xf numFmtId="0" fontId="22" fillId="0" borderId="3" xfId="0" applyFont="1" applyBorder="1" applyAlignment="1">
      <alignment horizontal="justify" vertical="center" wrapText="1"/>
    </xf>
    <xf numFmtId="0" fontId="25" fillId="0" borderId="3" xfId="0" applyFont="1" applyBorder="1" applyAlignment="1">
      <alignment wrapText="1"/>
    </xf>
    <xf numFmtId="0" fontId="28" fillId="0" borderId="3" xfId="0" applyFont="1" applyBorder="1" applyAlignment="1">
      <alignment wrapText="1"/>
    </xf>
    <xf numFmtId="0" fontId="29" fillId="0" borderId="3" xfId="0" applyFont="1" applyBorder="1" applyAlignment="1">
      <alignment horizontal="left" vertical="center" wrapText="1"/>
    </xf>
    <xf numFmtId="14" fontId="0" fillId="0" borderId="3" xfId="0" applyNumberFormat="1" applyBorder="1" applyAlignment="1">
      <alignment horizontal="left"/>
    </xf>
    <xf numFmtId="14" fontId="20" fillId="0" borderId="3" xfId="0" applyNumberFormat="1" applyFont="1" applyBorder="1" applyAlignment="1">
      <alignment horizontal="left" vertical="center" wrapText="1"/>
    </xf>
    <xf numFmtId="0" fontId="25" fillId="0" borderId="3" xfId="0" applyFont="1" applyBorder="1" applyAlignment="1">
      <alignment vertical="top"/>
    </xf>
    <xf numFmtId="0" fontId="25" fillId="0" borderId="3" xfId="0" applyFont="1" applyBorder="1"/>
    <xf numFmtId="0" fontId="50" fillId="3" borderId="2" xfId="0" applyFont="1" applyFill="1" applyBorder="1" applyAlignment="1">
      <alignment wrapText="1"/>
    </xf>
    <xf numFmtId="0" fontId="24" fillId="0" borderId="11" xfId="0" applyFont="1" applyBorder="1" applyAlignment="1">
      <alignment wrapText="1"/>
    </xf>
    <xf numFmtId="0" fontId="51" fillId="3" borderId="10" xfId="0" applyFont="1" applyFill="1" applyBorder="1" applyAlignment="1">
      <alignment wrapText="1"/>
    </xf>
    <xf numFmtId="0" fontId="15" fillId="0" borderId="9" xfId="0" applyFont="1" applyBorder="1" applyAlignment="1">
      <alignment wrapText="1"/>
    </xf>
    <xf numFmtId="0" fontId="15" fillId="0" borderId="7" xfId="0" applyFont="1" applyBorder="1" applyAlignment="1">
      <alignment wrapText="1"/>
    </xf>
    <xf numFmtId="14" fontId="15" fillId="0" borderId="9" xfId="0" applyNumberFormat="1" applyFont="1" applyBorder="1" applyAlignment="1">
      <alignment wrapText="1"/>
    </xf>
    <xf numFmtId="49" fontId="0" fillId="0" borderId="10" xfId="0" applyNumberFormat="1" applyBorder="1" applyAlignment="1">
      <alignment wrapText="1"/>
    </xf>
    <xf numFmtId="10" fontId="2" fillId="2" borderId="21" xfId="0" applyNumberFormat="1" applyFont="1" applyFill="1" applyBorder="1" applyAlignment="1">
      <alignment horizontal="center" vertical="center" wrapText="1"/>
    </xf>
    <xf numFmtId="10" fontId="5" fillId="3" borderId="22" xfId="0" applyNumberFormat="1" applyFont="1" applyFill="1" applyBorder="1" applyAlignment="1">
      <alignment vertical="top" wrapText="1"/>
    </xf>
    <xf numFmtId="10" fontId="0" fillId="0" borderId="5" xfId="0" applyNumberFormat="1" applyBorder="1" applyAlignment="1">
      <alignment wrapText="1"/>
    </xf>
    <xf numFmtId="10" fontId="0" fillId="0" borderId="22" xfId="0" applyNumberFormat="1" applyBorder="1" applyAlignment="1">
      <alignment wrapText="1"/>
    </xf>
    <xf numFmtId="10" fontId="0" fillId="0" borderId="19" xfId="0" applyNumberFormat="1" applyBorder="1"/>
    <xf numFmtId="0" fontId="2" fillId="2" borderId="16" xfId="0" applyFont="1" applyFill="1" applyBorder="1" applyAlignment="1">
      <alignment horizontal="center" vertical="center" wrapText="1"/>
    </xf>
    <xf numFmtId="10" fontId="2" fillId="2" borderId="3" xfId="0" applyNumberFormat="1" applyFont="1" applyFill="1" applyBorder="1" applyAlignment="1">
      <alignment horizontal="center" vertical="center" wrapText="1"/>
    </xf>
    <xf numFmtId="9" fontId="2" fillId="2" borderId="21" xfId="1" applyFont="1" applyFill="1" applyBorder="1" applyAlignment="1">
      <alignment horizontal="center" vertical="center" wrapText="1"/>
    </xf>
    <xf numFmtId="9" fontId="5" fillId="3" borderId="22" xfId="1" applyFont="1" applyFill="1" applyBorder="1" applyAlignment="1">
      <alignment vertical="top" wrapText="1"/>
    </xf>
    <xf numFmtId="9" fontId="0" fillId="0" borderId="5" xfId="1" applyFont="1" applyBorder="1" applyAlignment="1">
      <alignment wrapText="1"/>
    </xf>
    <xf numFmtId="9" fontId="0" fillId="0" borderId="22" xfId="1" applyFont="1" applyBorder="1" applyAlignment="1">
      <alignment wrapText="1"/>
    </xf>
    <xf numFmtId="9" fontId="0" fillId="0" borderId="19" xfId="1" applyFont="1" applyBorder="1"/>
    <xf numFmtId="9" fontId="2" fillId="2" borderId="3" xfId="1" applyFont="1" applyFill="1" applyBorder="1" applyAlignment="1">
      <alignment horizontal="center" vertical="center" wrapText="1"/>
    </xf>
    <xf numFmtId="49" fontId="4" fillId="7" borderId="2" xfId="0" applyNumberFormat="1" applyFont="1" applyFill="1" applyBorder="1" applyAlignment="1">
      <alignment vertical="top" wrapText="1"/>
    </xf>
    <xf numFmtId="0" fontId="24" fillId="7" borderId="4" xfId="0" applyFont="1" applyFill="1" applyBorder="1" applyAlignment="1">
      <alignment wrapText="1"/>
    </xf>
    <xf numFmtId="0" fontId="2" fillId="2" borderId="21" xfId="0" applyFont="1" applyFill="1" applyBorder="1" applyAlignment="1">
      <alignment horizontal="center" vertical="center" wrapText="1"/>
    </xf>
    <xf numFmtId="10" fontId="0" fillId="0" borderId="5" xfId="0" applyNumberFormat="1" applyBorder="1" applyAlignment="1">
      <alignment vertical="top" wrapText="1"/>
    </xf>
    <xf numFmtId="10" fontId="5" fillId="3" borderId="5" xfId="0" applyNumberFormat="1" applyFont="1" applyFill="1" applyBorder="1" applyAlignment="1">
      <alignment vertical="top" wrapText="1"/>
    </xf>
    <xf numFmtId="0" fontId="25" fillId="0" borderId="7" xfId="0" applyFont="1" applyBorder="1" applyAlignment="1">
      <alignment vertical="top" wrapText="1"/>
    </xf>
    <xf numFmtId="0" fontId="49" fillId="0" borderId="7" xfId="0" applyFont="1" applyBorder="1" applyAlignment="1">
      <alignment vertical="top" wrapText="1"/>
    </xf>
    <xf numFmtId="14" fontId="0" fillId="0" borderId="7" xfId="0" applyNumberFormat="1" applyBorder="1" applyAlignment="1">
      <alignment wrapText="1"/>
    </xf>
    <xf numFmtId="14" fontId="5" fillId="3" borderId="7" xfId="0" applyNumberFormat="1" applyFont="1" applyFill="1" applyBorder="1" applyAlignment="1">
      <alignment vertical="top" wrapText="1"/>
    </xf>
    <xf numFmtId="0" fontId="0" fillId="0" borderId="3" xfId="0" applyBorder="1" applyAlignment="1">
      <alignment vertical="center"/>
    </xf>
    <xf numFmtId="0" fontId="14" fillId="3" borderId="5" xfId="0" applyFont="1" applyFill="1" applyBorder="1" applyAlignment="1">
      <alignment wrapText="1"/>
    </xf>
    <xf numFmtId="0" fontId="14" fillId="0" borderId="6" xfId="0" applyFont="1" applyBorder="1" applyAlignment="1">
      <alignment vertical="center" wrapText="1"/>
    </xf>
    <xf numFmtId="0" fontId="14" fillId="0" borderId="5" xfId="0" applyFont="1" applyBorder="1" applyAlignment="1">
      <alignment wrapText="1"/>
    </xf>
    <xf numFmtId="0" fontId="14" fillId="0" borderId="7" xfId="0" applyFont="1" applyBorder="1" applyAlignment="1">
      <alignment wrapText="1"/>
    </xf>
    <xf numFmtId="0" fontId="19" fillId="0" borderId="7" xfId="0" applyFont="1" applyBorder="1"/>
    <xf numFmtId="0" fontId="14" fillId="3" borderId="7" xfId="0" applyFont="1" applyFill="1" applyBorder="1" applyAlignment="1">
      <alignment wrapText="1"/>
    </xf>
    <xf numFmtId="0" fontId="16" fillId="0" borderId="5" xfId="0" applyFont="1" applyBorder="1" applyAlignment="1">
      <alignment wrapText="1"/>
    </xf>
    <xf numFmtId="0" fontId="15" fillId="0" borderId="5" xfId="0" applyFont="1" applyBorder="1" applyAlignment="1">
      <alignment wrapText="1"/>
    </xf>
    <xf numFmtId="0" fontId="16" fillId="0" borderId="7" xfId="0" applyFont="1" applyBorder="1" applyAlignment="1">
      <alignment wrapText="1"/>
    </xf>
    <xf numFmtId="0" fontId="0" fillId="0" borderId="5" xfId="0" applyBorder="1"/>
    <xf numFmtId="0" fontId="0" fillId="0" borderId="7" xfId="0" applyBorder="1"/>
    <xf numFmtId="49" fontId="2" fillId="2" borderId="21" xfId="1" applyNumberFormat="1" applyFont="1" applyFill="1" applyBorder="1" applyAlignment="1">
      <alignment horizontal="center" vertical="center" wrapText="1"/>
    </xf>
    <xf numFmtId="49" fontId="5" fillId="3" borderId="22" xfId="1" applyNumberFormat="1" applyFont="1" applyFill="1" applyBorder="1" applyAlignment="1">
      <alignment vertical="top" wrapText="1"/>
    </xf>
    <xf numFmtId="49" fontId="0" fillId="0" borderId="5" xfId="1" applyNumberFormat="1" applyFont="1" applyBorder="1" applyAlignment="1">
      <alignment wrapText="1"/>
    </xf>
    <xf numFmtId="0" fontId="0" fillId="0" borderId="5" xfId="0" applyBorder="1" applyAlignment="1">
      <alignment wrapText="1"/>
    </xf>
    <xf numFmtId="0" fontId="33" fillId="0" borderId="31" xfId="0" applyFont="1" applyBorder="1" applyAlignment="1">
      <alignment wrapText="1"/>
    </xf>
    <xf numFmtId="0" fontId="35" fillId="0" borderId="32" xfId="0" applyFont="1" applyBorder="1" applyAlignment="1">
      <alignment wrapText="1"/>
    </xf>
    <xf numFmtId="0" fontId="33" fillId="0" borderId="32" xfId="0" applyFont="1" applyBorder="1" applyAlignment="1">
      <alignment wrapText="1"/>
    </xf>
    <xf numFmtId="0" fontId="18" fillId="0" borderId="32" xfId="0" applyFont="1" applyBorder="1" applyAlignment="1">
      <alignment wrapText="1"/>
    </xf>
    <xf numFmtId="0" fontId="34" fillId="0" borderId="7" xfId="0" applyFont="1" applyBorder="1" applyAlignment="1">
      <alignment vertical="center" wrapText="1"/>
    </xf>
    <xf numFmtId="0" fontId="36" fillId="0" borderId="7" xfId="0" applyFont="1" applyBorder="1" applyAlignment="1">
      <alignment vertical="center" wrapText="1"/>
    </xf>
    <xf numFmtId="0" fontId="37" fillId="0" borderId="7" xfId="0" applyFont="1" applyBorder="1" applyAlignment="1">
      <alignment vertical="center" wrapText="1"/>
    </xf>
    <xf numFmtId="9" fontId="32" fillId="0" borderId="5" xfId="1" applyFont="1" applyBorder="1" applyAlignment="1">
      <alignment wrapText="1"/>
    </xf>
    <xf numFmtId="9" fontId="32" fillId="0" borderId="22" xfId="1" applyFont="1" applyBorder="1" applyAlignment="1">
      <alignment wrapText="1"/>
    </xf>
    <xf numFmtId="9" fontId="32" fillId="0" borderId="19" xfId="1" applyFont="1" applyBorder="1"/>
    <xf numFmtId="0" fontId="32" fillId="0" borderId="7" xfId="0" applyFont="1" applyBorder="1" applyAlignment="1">
      <alignment wrapText="1"/>
    </xf>
    <xf numFmtId="0" fontId="32" fillId="0" borderId="10" xfId="0" applyFont="1" applyBorder="1" applyAlignment="1">
      <alignment wrapText="1"/>
    </xf>
    <xf numFmtId="0" fontId="32" fillId="0" borderId="11" xfId="0" applyFont="1" applyBorder="1"/>
    <xf numFmtId="9" fontId="5" fillId="3" borderId="22" xfId="1" applyFont="1" applyFill="1" applyBorder="1" applyAlignment="1">
      <alignment horizontal="left" vertical="center" wrapText="1"/>
    </xf>
    <xf numFmtId="9" fontId="32" fillId="0" borderId="5" xfId="1" applyFont="1" applyBorder="1" applyAlignment="1">
      <alignment horizontal="left" vertical="center" wrapText="1"/>
    </xf>
    <xf numFmtId="0" fontId="32" fillId="0" borderId="5" xfId="0" applyFont="1" applyBorder="1"/>
    <xf numFmtId="0" fontId="5" fillId="3" borderId="10" xfId="0" applyFont="1" applyFill="1" applyBorder="1" applyAlignment="1">
      <alignment horizontal="left" vertical="center" wrapText="1"/>
    </xf>
    <xf numFmtId="0" fontId="32" fillId="0" borderId="7" xfId="0" applyFont="1" applyBorder="1" applyAlignment="1">
      <alignment horizontal="left" vertical="center" wrapText="1"/>
    </xf>
    <xf numFmtId="0" fontId="32" fillId="0" borderId="7" xfId="0" applyFont="1" applyBorder="1"/>
    <xf numFmtId="9" fontId="5" fillId="3" borderId="5" xfId="1" applyFont="1" applyFill="1" applyBorder="1" applyAlignment="1">
      <alignment vertical="top" wrapText="1"/>
    </xf>
    <xf numFmtId="0" fontId="5" fillId="3" borderId="7" xfId="0" applyFont="1" applyFill="1" applyBorder="1" applyAlignment="1">
      <alignment vertical="top" wrapText="1"/>
    </xf>
    <xf numFmtId="9" fontId="5" fillId="3" borderId="22" xfId="1" applyFont="1" applyFill="1" applyBorder="1" applyAlignment="1">
      <alignment vertical="center" wrapText="1"/>
    </xf>
    <xf numFmtId="9" fontId="0" fillId="0" borderId="5" xfId="1" applyFont="1" applyBorder="1" applyAlignment="1">
      <alignment vertical="center" wrapText="1"/>
    </xf>
    <xf numFmtId="0" fontId="5" fillId="3" borderId="10" xfId="0" applyFont="1" applyFill="1" applyBorder="1" applyAlignment="1">
      <alignment vertical="center" wrapText="1"/>
    </xf>
    <xf numFmtId="0" fontId="0" fillId="0" borderId="7" xfId="0" applyBorder="1" applyAlignment="1">
      <alignment vertical="center" wrapText="1"/>
    </xf>
    <xf numFmtId="0" fontId="51" fillId="3" borderId="13" xfId="0" applyFont="1" applyFill="1" applyBorder="1" applyAlignment="1">
      <alignment wrapText="1"/>
    </xf>
    <xf numFmtId="0" fontId="15" fillId="0" borderId="6" xfId="0" applyFont="1" applyBorder="1" applyAlignment="1">
      <alignment wrapText="1"/>
    </xf>
    <xf numFmtId="0" fontId="15" fillId="0" borderId="18" xfId="0" applyFont="1" applyBorder="1" applyAlignment="1">
      <alignment wrapText="1"/>
    </xf>
    <xf numFmtId="0" fontId="5" fillId="3" borderId="5" xfId="0" applyFont="1" applyFill="1" applyBorder="1" applyAlignment="1">
      <alignment vertical="top" wrapText="1"/>
    </xf>
    <xf numFmtId="9" fontId="0" fillId="0" borderId="5" xfId="1" applyFont="1" applyBorder="1"/>
    <xf numFmtId="0" fontId="52" fillId="8" borderId="0" xfId="0" applyFont="1" applyFill="1" applyAlignment="1">
      <alignment wrapText="1"/>
    </xf>
    <xf numFmtId="0" fontId="52" fillId="8" borderId="34" xfId="0" applyFont="1" applyFill="1" applyBorder="1" applyAlignment="1">
      <alignment wrapText="1"/>
    </xf>
    <xf numFmtId="0" fontId="0" fillId="0" borderId="34" xfId="0" applyBorder="1"/>
    <xf numFmtId="0" fontId="0" fillId="0" borderId="33" xfId="0" applyBorder="1" applyAlignment="1">
      <alignment wrapText="1"/>
    </xf>
    <xf numFmtId="0" fontId="52" fillId="8" borderId="35" xfId="0" applyFont="1" applyFill="1" applyBorder="1" applyAlignment="1">
      <alignment wrapText="1"/>
    </xf>
    <xf numFmtId="14" fontId="0" fillId="0" borderId="34" xfId="0" applyNumberFormat="1" applyBorder="1"/>
    <xf numFmtId="9" fontId="32" fillId="0" borderId="21" xfId="1" applyFont="1" applyBorder="1"/>
    <xf numFmtId="0" fontId="32" fillId="0" borderId="16" xfId="0" applyFont="1" applyBorder="1" applyAlignment="1">
      <alignment wrapText="1"/>
    </xf>
    <xf numFmtId="0" fontId="0" fillId="0" borderId="34" xfId="0" applyBorder="1" applyAlignment="1">
      <alignment wrapText="1"/>
    </xf>
    <xf numFmtId="0" fontId="25" fillId="0" borderId="3" xfId="0" applyFont="1" applyBorder="1" applyAlignment="1">
      <alignment horizontal="left" vertical="top"/>
    </xf>
    <xf numFmtId="0" fontId="50" fillId="3" borderId="3" xfId="0" applyFont="1" applyFill="1" applyBorder="1" applyAlignment="1">
      <alignment wrapText="1"/>
    </xf>
    <xf numFmtId="0" fontId="3" fillId="0" borderId="0" xfId="0" applyFont="1" applyAlignment="1">
      <alignment horizontal="center" vertical="center"/>
    </xf>
    <xf numFmtId="49" fontId="10" fillId="6" borderId="3" xfId="0" applyNumberFormat="1" applyFont="1" applyFill="1" applyBorder="1" applyAlignment="1">
      <alignment horizontal="center" vertical="center" wrapText="1"/>
    </xf>
    <xf numFmtId="0" fontId="9" fillId="5" borderId="3" xfId="0" applyFont="1" applyFill="1" applyBorder="1" applyAlignment="1">
      <alignment horizontal="center" vertical="top"/>
    </xf>
    <xf numFmtId="0" fontId="9" fillId="5" borderId="10" xfId="0" applyFont="1" applyFill="1" applyBorder="1" applyAlignment="1">
      <alignment horizontal="center" vertical="top" wrapText="1"/>
    </xf>
    <xf numFmtId="0" fontId="9" fillId="5" borderId="17" xfId="0" applyFont="1" applyFill="1" applyBorder="1" applyAlignment="1">
      <alignment horizontal="center" vertical="top" wrapText="1"/>
    </xf>
    <xf numFmtId="0" fontId="9" fillId="5" borderId="5" xfId="0" applyFont="1" applyFill="1" applyBorder="1" applyAlignment="1">
      <alignment horizontal="center" vertical="top"/>
    </xf>
    <xf numFmtId="0" fontId="9" fillId="5" borderId="6" xfId="0" applyFont="1" applyFill="1" applyBorder="1" applyAlignment="1">
      <alignment horizontal="center" vertical="top"/>
    </xf>
    <xf numFmtId="0" fontId="9" fillId="5" borderId="7" xfId="0" applyFont="1" applyFill="1" applyBorder="1" applyAlignment="1">
      <alignment horizontal="center" vertical="top"/>
    </xf>
    <xf numFmtId="0" fontId="9" fillId="5" borderId="2" xfId="0" applyFont="1" applyFill="1" applyBorder="1" applyAlignment="1">
      <alignment horizontal="center" vertical="top" wrapText="1"/>
    </xf>
    <xf numFmtId="0" fontId="9" fillId="5" borderId="8" xfId="0" applyFont="1" applyFill="1" applyBorder="1" applyAlignment="1">
      <alignment horizontal="center" vertical="top" wrapText="1"/>
    </xf>
    <xf numFmtId="0" fontId="9" fillId="5" borderId="10" xfId="0" applyFont="1" applyFill="1" applyBorder="1" applyAlignment="1">
      <alignment horizontal="center" vertical="top"/>
    </xf>
    <xf numFmtId="0" fontId="9" fillId="5" borderId="12" xfId="0" applyFont="1" applyFill="1" applyBorder="1" applyAlignment="1">
      <alignment horizontal="center" vertical="top"/>
    </xf>
    <xf numFmtId="0" fontId="9" fillId="5" borderId="14" xfId="0" applyFont="1" applyFill="1" applyBorder="1" applyAlignment="1">
      <alignment horizontal="center" vertical="top" wrapText="1"/>
    </xf>
    <xf numFmtId="49" fontId="10" fillId="6" borderId="1" xfId="0" applyNumberFormat="1" applyFont="1" applyFill="1" applyBorder="1" applyAlignment="1">
      <alignment horizontal="center" vertical="center" wrapText="1"/>
    </xf>
    <xf numFmtId="49" fontId="10" fillId="6" borderId="15" xfId="0" applyNumberFormat="1" applyFont="1" applyFill="1" applyBorder="1" applyAlignment="1">
      <alignment horizontal="center" vertical="center" wrapText="1"/>
    </xf>
    <xf numFmtId="49" fontId="10" fillId="6" borderId="21" xfId="0" applyNumberFormat="1" applyFont="1" applyFill="1" applyBorder="1" applyAlignment="1">
      <alignment horizontal="center" vertical="center" wrapText="1"/>
    </xf>
    <xf numFmtId="49" fontId="10" fillId="6" borderId="23"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678180</xdr:colOff>
      <xdr:row>0</xdr:row>
      <xdr:rowOff>167640</xdr:rowOff>
    </xdr:from>
    <xdr:to>
      <xdr:col>6</xdr:col>
      <xdr:colOff>1097889</xdr:colOff>
      <xdr:row>7</xdr:row>
      <xdr:rowOff>114300</xdr:rowOff>
    </xdr:to>
    <xdr:pic>
      <xdr:nvPicPr>
        <xdr:cNvPr id="6" name="Imagen 5">
          <a:extLst>
            <a:ext uri="{FF2B5EF4-FFF2-40B4-BE49-F238E27FC236}">
              <a16:creationId xmlns:a16="http://schemas.microsoft.com/office/drawing/2014/main" id="{B9F3A982-2227-28C4-77CE-112C182B23D0}"/>
            </a:ext>
          </a:extLst>
        </xdr:cNvPr>
        <xdr:cNvPicPr>
          <a:picLocks noChangeAspect="1"/>
        </xdr:cNvPicPr>
      </xdr:nvPicPr>
      <xdr:blipFill>
        <a:blip xmlns:r="http://schemas.openxmlformats.org/officeDocument/2006/relationships" r:embed="rId1"/>
        <a:stretch>
          <a:fillRect/>
        </a:stretch>
      </xdr:blipFill>
      <xdr:spPr>
        <a:xfrm>
          <a:off x="5478780" y="167640"/>
          <a:ext cx="7026249" cy="12268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449580</xdr:colOff>
      <xdr:row>0</xdr:row>
      <xdr:rowOff>99060</xdr:rowOff>
    </xdr:from>
    <xdr:to>
      <xdr:col>6</xdr:col>
      <xdr:colOff>869289</xdr:colOff>
      <xdr:row>7</xdr:row>
      <xdr:rowOff>45720</xdr:rowOff>
    </xdr:to>
    <xdr:pic>
      <xdr:nvPicPr>
        <xdr:cNvPr id="3" name="Imagen 2">
          <a:extLst>
            <a:ext uri="{FF2B5EF4-FFF2-40B4-BE49-F238E27FC236}">
              <a16:creationId xmlns:a16="http://schemas.microsoft.com/office/drawing/2014/main" id="{FBC02A6D-BA59-49F7-AE9D-995F58491C5D}"/>
            </a:ext>
          </a:extLst>
        </xdr:cNvPr>
        <xdr:cNvPicPr>
          <a:picLocks noChangeAspect="1"/>
        </xdr:cNvPicPr>
      </xdr:nvPicPr>
      <xdr:blipFill>
        <a:blip xmlns:r="http://schemas.openxmlformats.org/officeDocument/2006/relationships" r:embed="rId1"/>
        <a:stretch>
          <a:fillRect/>
        </a:stretch>
      </xdr:blipFill>
      <xdr:spPr>
        <a:xfrm>
          <a:off x="5250180" y="99060"/>
          <a:ext cx="7026249" cy="12268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449580</xdr:colOff>
      <xdr:row>0</xdr:row>
      <xdr:rowOff>0</xdr:rowOff>
    </xdr:from>
    <xdr:to>
      <xdr:col>7</xdr:col>
      <xdr:colOff>869289</xdr:colOff>
      <xdr:row>6</xdr:row>
      <xdr:rowOff>129540</xdr:rowOff>
    </xdr:to>
    <xdr:pic>
      <xdr:nvPicPr>
        <xdr:cNvPr id="3" name="Imagen 2">
          <a:extLst>
            <a:ext uri="{FF2B5EF4-FFF2-40B4-BE49-F238E27FC236}">
              <a16:creationId xmlns:a16="http://schemas.microsoft.com/office/drawing/2014/main" id="{740EB1FB-5E94-4C19-B134-860633088818}"/>
            </a:ext>
          </a:extLst>
        </xdr:cNvPr>
        <xdr:cNvPicPr>
          <a:picLocks noChangeAspect="1"/>
        </xdr:cNvPicPr>
      </xdr:nvPicPr>
      <xdr:blipFill>
        <a:blip xmlns:r="http://schemas.openxmlformats.org/officeDocument/2006/relationships" r:embed="rId1"/>
        <a:stretch>
          <a:fillRect/>
        </a:stretch>
      </xdr:blipFill>
      <xdr:spPr>
        <a:xfrm>
          <a:off x="6042660" y="0"/>
          <a:ext cx="7026249" cy="12268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388620</xdr:colOff>
      <xdr:row>0</xdr:row>
      <xdr:rowOff>68580</xdr:rowOff>
    </xdr:from>
    <xdr:to>
      <xdr:col>6</xdr:col>
      <xdr:colOff>808329</xdr:colOff>
      <xdr:row>7</xdr:row>
      <xdr:rowOff>15240</xdr:rowOff>
    </xdr:to>
    <xdr:pic>
      <xdr:nvPicPr>
        <xdr:cNvPr id="3" name="Imagen 2">
          <a:extLst>
            <a:ext uri="{FF2B5EF4-FFF2-40B4-BE49-F238E27FC236}">
              <a16:creationId xmlns:a16="http://schemas.microsoft.com/office/drawing/2014/main" id="{2D680B76-33A3-4F4D-B8D0-77E11655EA8D}"/>
            </a:ext>
          </a:extLst>
        </xdr:cNvPr>
        <xdr:cNvPicPr>
          <a:picLocks noChangeAspect="1"/>
        </xdr:cNvPicPr>
      </xdr:nvPicPr>
      <xdr:blipFill>
        <a:blip xmlns:r="http://schemas.openxmlformats.org/officeDocument/2006/relationships" r:embed="rId1"/>
        <a:stretch>
          <a:fillRect/>
        </a:stretch>
      </xdr:blipFill>
      <xdr:spPr>
        <a:xfrm>
          <a:off x="5189220" y="68580"/>
          <a:ext cx="7026249" cy="12268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160020</xdr:colOff>
      <xdr:row>1</xdr:row>
      <xdr:rowOff>60960</xdr:rowOff>
    </xdr:from>
    <xdr:to>
      <xdr:col>6</xdr:col>
      <xdr:colOff>579729</xdr:colOff>
      <xdr:row>8</xdr:row>
      <xdr:rowOff>7620</xdr:rowOff>
    </xdr:to>
    <xdr:pic>
      <xdr:nvPicPr>
        <xdr:cNvPr id="4" name="Imagen 3">
          <a:extLst>
            <a:ext uri="{FF2B5EF4-FFF2-40B4-BE49-F238E27FC236}">
              <a16:creationId xmlns:a16="http://schemas.microsoft.com/office/drawing/2014/main" id="{EDB7B82E-EE94-488E-993B-45A0A9548D36}"/>
            </a:ext>
          </a:extLst>
        </xdr:cNvPr>
        <xdr:cNvPicPr>
          <a:picLocks noChangeAspect="1"/>
        </xdr:cNvPicPr>
      </xdr:nvPicPr>
      <xdr:blipFill>
        <a:blip xmlns:r="http://schemas.openxmlformats.org/officeDocument/2006/relationships" r:embed="rId1"/>
        <a:stretch>
          <a:fillRect/>
        </a:stretch>
      </xdr:blipFill>
      <xdr:spPr>
        <a:xfrm>
          <a:off x="4960620" y="243840"/>
          <a:ext cx="7026249" cy="12268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586740</xdr:colOff>
      <xdr:row>0</xdr:row>
      <xdr:rowOff>0</xdr:rowOff>
    </xdr:from>
    <xdr:to>
      <xdr:col>6</xdr:col>
      <xdr:colOff>1006449</xdr:colOff>
      <xdr:row>6</xdr:row>
      <xdr:rowOff>129540</xdr:rowOff>
    </xdr:to>
    <xdr:pic>
      <xdr:nvPicPr>
        <xdr:cNvPr id="3" name="Imagen 2">
          <a:extLst>
            <a:ext uri="{FF2B5EF4-FFF2-40B4-BE49-F238E27FC236}">
              <a16:creationId xmlns:a16="http://schemas.microsoft.com/office/drawing/2014/main" id="{5CE0905D-7933-4E61-89FC-34315773C180}"/>
            </a:ext>
          </a:extLst>
        </xdr:cNvPr>
        <xdr:cNvPicPr>
          <a:picLocks noChangeAspect="1"/>
        </xdr:cNvPicPr>
      </xdr:nvPicPr>
      <xdr:blipFill>
        <a:blip xmlns:r="http://schemas.openxmlformats.org/officeDocument/2006/relationships" r:embed="rId1"/>
        <a:stretch>
          <a:fillRect/>
        </a:stretch>
      </xdr:blipFill>
      <xdr:spPr>
        <a:xfrm>
          <a:off x="5387340" y="0"/>
          <a:ext cx="7026249" cy="12268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518160</xdr:colOff>
      <xdr:row>0</xdr:row>
      <xdr:rowOff>60960</xdr:rowOff>
    </xdr:from>
    <xdr:to>
      <xdr:col>6</xdr:col>
      <xdr:colOff>147294</xdr:colOff>
      <xdr:row>7</xdr:row>
      <xdr:rowOff>7620</xdr:rowOff>
    </xdr:to>
    <xdr:pic>
      <xdr:nvPicPr>
        <xdr:cNvPr id="3" name="Imagen 2">
          <a:extLst>
            <a:ext uri="{FF2B5EF4-FFF2-40B4-BE49-F238E27FC236}">
              <a16:creationId xmlns:a16="http://schemas.microsoft.com/office/drawing/2014/main" id="{76F0F5ED-D307-47E1-82D0-6B813FBD12CA}"/>
            </a:ext>
          </a:extLst>
        </xdr:cNvPr>
        <xdr:cNvPicPr>
          <a:picLocks noChangeAspect="1"/>
        </xdr:cNvPicPr>
      </xdr:nvPicPr>
      <xdr:blipFill>
        <a:blip xmlns:r="http://schemas.openxmlformats.org/officeDocument/2006/relationships" r:embed="rId1"/>
        <a:stretch>
          <a:fillRect/>
        </a:stretch>
      </xdr:blipFill>
      <xdr:spPr>
        <a:xfrm>
          <a:off x="5318760" y="60960"/>
          <a:ext cx="7026249" cy="12268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563880</xdr:colOff>
      <xdr:row>0</xdr:row>
      <xdr:rowOff>68580</xdr:rowOff>
    </xdr:from>
    <xdr:to>
      <xdr:col>6</xdr:col>
      <xdr:colOff>983589</xdr:colOff>
      <xdr:row>7</xdr:row>
      <xdr:rowOff>15240</xdr:rowOff>
    </xdr:to>
    <xdr:pic>
      <xdr:nvPicPr>
        <xdr:cNvPr id="3" name="Imagen 2">
          <a:extLst>
            <a:ext uri="{FF2B5EF4-FFF2-40B4-BE49-F238E27FC236}">
              <a16:creationId xmlns:a16="http://schemas.microsoft.com/office/drawing/2014/main" id="{F42C3ABC-F439-4F56-9283-2033E8EC039D}"/>
            </a:ext>
          </a:extLst>
        </xdr:cNvPr>
        <xdr:cNvPicPr>
          <a:picLocks noChangeAspect="1"/>
        </xdr:cNvPicPr>
      </xdr:nvPicPr>
      <xdr:blipFill>
        <a:blip xmlns:r="http://schemas.openxmlformats.org/officeDocument/2006/relationships" r:embed="rId1"/>
        <a:stretch>
          <a:fillRect/>
        </a:stretch>
      </xdr:blipFill>
      <xdr:spPr>
        <a:xfrm>
          <a:off x="5364480" y="68580"/>
          <a:ext cx="7026249" cy="12268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609600</xdr:colOff>
      <xdr:row>0</xdr:row>
      <xdr:rowOff>129540</xdr:rowOff>
    </xdr:from>
    <xdr:to>
      <xdr:col>6</xdr:col>
      <xdr:colOff>1029309</xdr:colOff>
      <xdr:row>7</xdr:row>
      <xdr:rowOff>76200</xdr:rowOff>
    </xdr:to>
    <xdr:pic>
      <xdr:nvPicPr>
        <xdr:cNvPr id="4" name="Imagen 3">
          <a:extLst>
            <a:ext uri="{FF2B5EF4-FFF2-40B4-BE49-F238E27FC236}">
              <a16:creationId xmlns:a16="http://schemas.microsoft.com/office/drawing/2014/main" id="{A86EF659-B782-42C7-8A66-718C2C41A18E}"/>
            </a:ext>
          </a:extLst>
        </xdr:cNvPr>
        <xdr:cNvPicPr>
          <a:picLocks noChangeAspect="1"/>
        </xdr:cNvPicPr>
      </xdr:nvPicPr>
      <xdr:blipFill>
        <a:blip xmlns:r="http://schemas.openxmlformats.org/officeDocument/2006/relationships" r:embed="rId1"/>
        <a:stretch>
          <a:fillRect/>
        </a:stretch>
      </xdr:blipFill>
      <xdr:spPr>
        <a:xfrm>
          <a:off x="5410200" y="129540"/>
          <a:ext cx="7026249" cy="12268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259080</xdr:colOff>
      <xdr:row>0</xdr:row>
      <xdr:rowOff>45720</xdr:rowOff>
    </xdr:from>
    <xdr:to>
      <xdr:col>6</xdr:col>
      <xdr:colOff>678789</xdr:colOff>
      <xdr:row>7</xdr:row>
      <xdr:rowOff>3810</xdr:rowOff>
    </xdr:to>
    <xdr:pic>
      <xdr:nvPicPr>
        <xdr:cNvPr id="3" name="Imagen 2">
          <a:extLst>
            <a:ext uri="{FF2B5EF4-FFF2-40B4-BE49-F238E27FC236}">
              <a16:creationId xmlns:a16="http://schemas.microsoft.com/office/drawing/2014/main" id="{6AA5E7D0-4A65-4716-8B17-252BEE2A1F95}"/>
            </a:ext>
          </a:extLst>
        </xdr:cNvPr>
        <xdr:cNvPicPr>
          <a:picLocks noChangeAspect="1"/>
        </xdr:cNvPicPr>
      </xdr:nvPicPr>
      <xdr:blipFill>
        <a:blip xmlns:r="http://schemas.openxmlformats.org/officeDocument/2006/relationships" r:embed="rId1"/>
        <a:stretch>
          <a:fillRect/>
        </a:stretch>
      </xdr:blipFill>
      <xdr:spPr>
        <a:xfrm>
          <a:off x="5059680" y="45720"/>
          <a:ext cx="7026249" cy="12268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685800</xdr:colOff>
      <xdr:row>0</xdr:row>
      <xdr:rowOff>0</xdr:rowOff>
    </xdr:from>
    <xdr:to>
      <xdr:col>6</xdr:col>
      <xdr:colOff>1105509</xdr:colOff>
      <xdr:row>6</xdr:row>
      <xdr:rowOff>129540</xdr:rowOff>
    </xdr:to>
    <xdr:pic>
      <xdr:nvPicPr>
        <xdr:cNvPr id="3" name="Imagen 2">
          <a:extLst>
            <a:ext uri="{FF2B5EF4-FFF2-40B4-BE49-F238E27FC236}">
              <a16:creationId xmlns:a16="http://schemas.microsoft.com/office/drawing/2014/main" id="{2DE213A0-8BB5-4E52-B0D9-29961513056A}"/>
            </a:ext>
          </a:extLst>
        </xdr:cNvPr>
        <xdr:cNvPicPr>
          <a:picLocks noChangeAspect="1"/>
        </xdr:cNvPicPr>
      </xdr:nvPicPr>
      <xdr:blipFill>
        <a:blip xmlns:r="http://schemas.openxmlformats.org/officeDocument/2006/relationships" r:embed="rId1"/>
        <a:stretch>
          <a:fillRect/>
        </a:stretch>
      </xdr:blipFill>
      <xdr:spPr>
        <a:xfrm>
          <a:off x="5486400" y="0"/>
          <a:ext cx="7026249" cy="12268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259080</xdr:colOff>
      <xdr:row>0</xdr:row>
      <xdr:rowOff>15240</xdr:rowOff>
    </xdr:from>
    <xdr:to>
      <xdr:col>6</xdr:col>
      <xdr:colOff>678789</xdr:colOff>
      <xdr:row>6</xdr:row>
      <xdr:rowOff>97155</xdr:rowOff>
    </xdr:to>
    <xdr:pic>
      <xdr:nvPicPr>
        <xdr:cNvPr id="2" name="Imagen 2">
          <a:extLst>
            <a:ext uri="{FF2B5EF4-FFF2-40B4-BE49-F238E27FC236}">
              <a16:creationId xmlns:a16="http://schemas.microsoft.com/office/drawing/2014/main" id="{161DF7F4-593D-4877-BEB3-78219955C907}"/>
            </a:ext>
          </a:extLst>
        </xdr:cNvPr>
        <xdr:cNvPicPr>
          <a:picLocks noChangeAspect="1"/>
        </xdr:cNvPicPr>
      </xdr:nvPicPr>
      <xdr:blipFill>
        <a:blip xmlns:r="http://schemas.openxmlformats.org/officeDocument/2006/relationships" r:embed="rId1"/>
        <a:stretch>
          <a:fillRect/>
        </a:stretch>
      </xdr:blipFill>
      <xdr:spPr>
        <a:xfrm>
          <a:off x="4926330" y="15240"/>
          <a:ext cx="6839559" cy="121539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259080</xdr:colOff>
      <xdr:row>0</xdr:row>
      <xdr:rowOff>15240</xdr:rowOff>
    </xdr:from>
    <xdr:to>
      <xdr:col>6</xdr:col>
      <xdr:colOff>678789</xdr:colOff>
      <xdr:row>6</xdr:row>
      <xdr:rowOff>144780</xdr:rowOff>
    </xdr:to>
    <xdr:pic>
      <xdr:nvPicPr>
        <xdr:cNvPr id="3" name="Imagen 2">
          <a:extLst>
            <a:ext uri="{FF2B5EF4-FFF2-40B4-BE49-F238E27FC236}">
              <a16:creationId xmlns:a16="http://schemas.microsoft.com/office/drawing/2014/main" id="{6EF31D96-7E3B-4D64-B152-3C85D63B2BF0}"/>
            </a:ext>
          </a:extLst>
        </xdr:cNvPr>
        <xdr:cNvPicPr>
          <a:picLocks noChangeAspect="1"/>
        </xdr:cNvPicPr>
      </xdr:nvPicPr>
      <xdr:blipFill>
        <a:blip xmlns:r="http://schemas.openxmlformats.org/officeDocument/2006/relationships" r:embed="rId1"/>
        <a:stretch>
          <a:fillRect/>
        </a:stretch>
      </xdr:blipFill>
      <xdr:spPr>
        <a:xfrm>
          <a:off x="5059680" y="15240"/>
          <a:ext cx="7026249" cy="122682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2457450</xdr:colOff>
      <xdr:row>0</xdr:row>
      <xdr:rowOff>89535</xdr:rowOff>
    </xdr:from>
    <xdr:to>
      <xdr:col>6</xdr:col>
      <xdr:colOff>181584</xdr:colOff>
      <xdr:row>7</xdr:row>
      <xdr:rowOff>36195</xdr:rowOff>
    </xdr:to>
    <xdr:pic>
      <xdr:nvPicPr>
        <xdr:cNvPr id="5" name="Imagen 2">
          <a:extLst>
            <a:ext uri="{FF2B5EF4-FFF2-40B4-BE49-F238E27FC236}">
              <a16:creationId xmlns:a16="http://schemas.microsoft.com/office/drawing/2014/main" id="{E062BF38-72A9-49CF-BA28-E6266F19774A}"/>
            </a:ext>
          </a:extLst>
        </xdr:cNvPr>
        <xdr:cNvPicPr>
          <a:picLocks noChangeAspect="1"/>
        </xdr:cNvPicPr>
      </xdr:nvPicPr>
      <xdr:blipFill>
        <a:blip xmlns:r="http://schemas.openxmlformats.org/officeDocument/2006/relationships" r:embed="rId1"/>
        <a:stretch>
          <a:fillRect/>
        </a:stretch>
      </xdr:blipFill>
      <xdr:spPr>
        <a:xfrm>
          <a:off x="4419600" y="89535"/>
          <a:ext cx="6839559" cy="114681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472440</xdr:colOff>
      <xdr:row>0</xdr:row>
      <xdr:rowOff>15240</xdr:rowOff>
    </xdr:from>
    <xdr:to>
      <xdr:col>6</xdr:col>
      <xdr:colOff>892149</xdr:colOff>
      <xdr:row>6</xdr:row>
      <xdr:rowOff>144780</xdr:rowOff>
    </xdr:to>
    <xdr:pic>
      <xdr:nvPicPr>
        <xdr:cNvPr id="3" name="Imagen 2">
          <a:extLst>
            <a:ext uri="{FF2B5EF4-FFF2-40B4-BE49-F238E27FC236}">
              <a16:creationId xmlns:a16="http://schemas.microsoft.com/office/drawing/2014/main" id="{CCDC76BF-A771-424C-B629-E208EAD9E7A7}"/>
            </a:ext>
          </a:extLst>
        </xdr:cNvPr>
        <xdr:cNvPicPr>
          <a:picLocks noChangeAspect="1"/>
        </xdr:cNvPicPr>
      </xdr:nvPicPr>
      <xdr:blipFill>
        <a:blip xmlns:r="http://schemas.openxmlformats.org/officeDocument/2006/relationships" r:embed="rId1"/>
        <a:stretch>
          <a:fillRect/>
        </a:stretch>
      </xdr:blipFill>
      <xdr:spPr>
        <a:xfrm>
          <a:off x="5273040" y="15240"/>
          <a:ext cx="7026249" cy="122682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327660</xdr:colOff>
      <xdr:row>0</xdr:row>
      <xdr:rowOff>106680</xdr:rowOff>
    </xdr:from>
    <xdr:to>
      <xdr:col>6</xdr:col>
      <xdr:colOff>747369</xdr:colOff>
      <xdr:row>7</xdr:row>
      <xdr:rowOff>53340</xdr:rowOff>
    </xdr:to>
    <xdr:pic>
      <xdr:nvPicPr>
        <xdr:cNvPr id="3" name="Imagen 2">
          <a:extLst>
            <a:ext uri="{FF2B5EF4-FFF2-40B4-BE49-F238E27FC236}">
              <a16:creationId xmlns:a16="http://schemas.microsoft.com/office/drawing/2014/main" id="{4AAC14A5-1ACA-427D-B1A3-A96B005D0DCB}"/>
            </a:ext>
          </a:extLst>
        </xdr:cNvPr>
        <xdr:cNvPicPr>
          <a:picLocks noChangeAspect="1"/>
        </xdr:cNvPicPr>
      </xdr:nvPicPr>
      <xdr:blipFill>
        <a:blip xmlns:r="http://schemas.openxmlformats.org/officeDocument/2006/relationships" r:embed="rId1"/>
        <a:stretch>
          <a:fillRect/>
        </a:stretch>
      </xdr:blipFill>
      <xdr:spPr>
        <a:xfrm>
          <a:off x="5128260" y="106680"/>
          <a:ext cx="7026249" cy="122682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160020</xdr:colOff>
      <xdr:row>0</xdr:row>
      <xdr:rowOff>68580</xdr:rowOff>
    </xdr:from>
    <xdr:to>
      <xdr:col>6</xdr:col>
      <xdr:colOff>579729</xdr:colOff>
      <xdr:row>7</xdr:row>
      <xdr:rowOff>15240</xdr:rowOff>
    </xdr:to>
    <xdr:pic>
      <xdr:nvPicPr>
        <xdr:cNvPr id="3" name="Imagen 2">
          <a:extLst>
            <a:ext uri="{FF2B5EF4-FFF2-40B4-BE49-F238E27FC236}">
              <a16:creationId xmlns:a16="http://schemas.microsoft.com/office/drawing/2014/main" id="{E8D32708-C19F-4D59-A5AA-DD7B5999BA28}"/>
            </a:ext>
          </a:extLst>
        </xdr:cNvPr>
        <xdr:cNvPicPr>
          <a:picLocks noChangeAspect="1"/>
        </xdr:cNvPicPr>
      </xdr:nvPicPr>
      <xdr:blipFill>
        <a:blip xmlns:r="http://schemas.openxmlformats.org/officeDocument/2006/relationships" r:embed="rId1"/>
        <a:stretch>
          <a:fillRect/>
        </a:stretch>
      </xdr:blipFill>
      <xdr:spPr>
        <a:xfrm>
          <a:off x="4960620" y="68580"/>
          <a:ext cx="7026249" cy="122682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472440</xdr:colOff>
      <xdr:row>0</xdr:row>
      <xdr:rowOff>0</xdr:rowOff>
    </xdr:from>
    <xdr:to>
      <xdr:col>6</xdr:col>
      <xdr:colOff>892149</xdr:colOff>
      <xdr:row>6</xdr:row>
      <xdr:rowOff>129540</xdr:rowOff>
    </xdr:to>
    <xdr:pic>
      <xdr:nvPicPr>
        <xdr:cNvPr id="3" name="Imagen 2">
          <a:extLst>
            <a:ext uri="{FF2B5EF4-FFF2-40B4-BE49-F238E27FC236}">
              <a16:creationId xmlns:a16="http://schemas.microsoft.com/office/drawing/2014/main" id="{2C263DEB-DB00-4485-B72B-94C0BBA3FD11}"/>
            </a:ext>
          </a:extLst>
        </xdr:cNvPr>
        <xdr:cNvPicPr>
          <a:picLocks noChangeAspect="1"/>
        </xdr:cNvPicPr>
      </xdr:nvPicPr>
      <xdr:blipFill>
        <a:blip xmlns:r="http://schemas.openxmlformats.org/officeDocument/2006/relationships" r:embed="rId1"/>
        <a:stretch>
          <a:fillRect/>
        </a:stretch>
      </xdr:blipFill>
      <xdr:spPr>
        <a:xfrm>
          <a:off x="5273040" y="0"/>
          <a:ext cx="7026249" cy="122682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205740</xdr:colOff>
      <xdr:row>0</xdr:row>
      <xdr:rowOff>121920</xdr:rowOff>
    </xdr:from>
    <xdr:to>
      <xdr:col>6</xdr:col>
      <xdr:colOff>625449</xdr:colOff>
      <xdr:row>7</xdr:row>
      <xdr:rowOff>68580</xdr:rowOff>
    </xdr:to>
    <xdr:pic>
      <xdr:nvPicPr>
        <xdr:cNvPr id="3" name="Imagen 2">
          <a:extLst>
            <a:ext uri="{FF2B5EF4-FFF2-40B4-BE49-F238E27FC236}">
              <a16:creationId xmlns:a16="http://schemas.microsoft.com/office/drawing/2014/main" id="{48F2546F-A0D4-437D-8C7F-C207D50652A4}"/>
            </a:ext>
          </a:extLst>
        </xdr:cNvPr>
        <xdr:cNvPicPr>
          <a:picLocks noChangeAspect="1"/>
        </xdr:cNvPicPr>
      </xdr:nvPicPr>
      <xdr:blipFill>
        <a:blip xmlns:r="http://schemas.openxmlformats.org/officeDocument/2006/relationships" r:embed="rId1"/>
        <a:stretch>
          <a:fillRect/>
        </a:stretch>
      </xdr:blipFill>
      <xdr:spPr>
        <a:xfrm>
          <a:off x="5006340" y="121920"/>
          <a:ext cx="7026249" cy="122682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335280</xdr:colOff>
      <xdr:row>0</xdr:row>
      <xdr:rowOff>106680</xdr:rowOff>
    </xdr:from>
    <xdr:to>
      <xdr:col>6</xdr:col>
      <xdr:colOff>754989</xdr:colOff>
      <xdr:row>7</xdr:row>
      <xdr:rowOff>53340</xdr:rowOff>
    </xdr:to>
    <xdr:pic>
      <xdr:nvPicPr>
        <xdr:cNvPr id="3" name="Imagen 2">
          <a:extLst>
            <a:ext uri="{FF2B5EF4-FFF2-40B4-BE49-F238E27FC236}">
              <a16:creationId xmlns:a16="http://schemas.microsoft.com/office/drawing/2014/main" id="{F16AABB9-C5CE-4F2A-BF0C-A7BFF7D3F795}"/>
            </a:ext>
          </a:extLst>
        </xdr:cNvPr>
        <xdr:cNvPicPr>
          <a:picLocks noChangeAspect="1"/>
        </xdr:cNvPicPr>
      </xdr:nvPicPr>
      <xdr:blipFill>
        <a:blip xmlns:r="http://schemas.openxmlformats.org/officeDocument/2006/relationships" r:embed="rId1"/>
        <a:stretch>
          <a:fillRect/>
        </a:stretch>
      </xdr:blipFill>
      <xdr:spPr>
        <a:xfrm>
          <a:off x="5135880" y="106680"/>
          <a:ext cx="7026249" cy="122682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449580</xdr:colOff>
      <xdr:row>0</xdr:row>
      <xdr:rowOff>121920</xdr:rowOff>
    </xdr:from>
    <xdr:to>
      <xdr:col>6</xdr:col>
      <xdr:colOff>869289</xdr:colOff>
      <xdr:row>7</xdr:row>
      <xdr:rowOff>68580</xdr:rowOff>
    </xdr:to>
    <xdr:pic>
      <xdr:nvPicPr>
        <xdr:cNvPr id="3" name="Imagen 2">
          <a:extLst>
            <a:ext uri="{FF2B5EF4-FFF2-40B4-BE49-F238E27FC236}">
              <a16:creationId xmlns:a16="http://schemas.microsoft.com/office/drawing/2014/main" id="{125599E9-D0AB-44BD-9F10-4013C727E040}"/>
            </a:ext>
          </a:extLst>
        </xdr:cNvPr>
        <xdr:cNvPicPr>
          <a:picLocks noChangeAspect="1"/>
        </xdr:cNvPicPr>
      </xdr:nvPicPr>
      <xdr:blipFill>
        <a:blip xmlns:r="http://schemas.openxmlformats.org/officeDocument/2006/relationships" r:embed="rId1"/>
        <a:stretch>
          <a:fillRect/>
        </a:stretch>
      </xdr:blipFill>
      <xdr:spPr>
        <a:xfrm>
          <a:off x="5250180" y="121920"/>
          <a:ext cx="7026249" cy="122682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160020</xdr:colOff>
      <xdr:row>0</xdr:row>
      <xdr:rowOff>60960</xdr:rowOff>
    </xdr:from>
    <xdr:to>
      <xdr:col>6</xdr:col>
      <xdr:colOff>465429</xdr:colOff>
      <xdr:row>7</xdr:row>
      <xdr:rowOff>7620</xdr:rowOff>
    </xdr:to>
    <xdr:pic>
      <xdr:nvPicPr>
        <xdr:cNvPr id="4" name="Imagen 2">
          <a:extLst>
            <a:ext uri="{FF2B5EF4-FFF2-40B4-BE49-F238E27FC236}">
              <a16:creationId xmlns:a16="http://schemas.microsoft.com/office/drawing/2014/main" id="{BFD91B55-F263-40A1-8D4E-22A949FD8A9E}"/>
            </a:ext>
          </a:extLst>
        </xdr:cNvPr>
        <xdr:cNvPicPr>
          <a:picLocks noChangeAspect="1"/>
        </xdr:cNvPicPr>
      </xdr:nvPicPr>
      <xdr:blipFill>
        <a:blip xmlns:r="http://schemas.openxmlformats.org/officeDocument/2006/relationships" r:embed="rId1"/>
        <a:stretch>
          <a:fillRect/>
        </a:stretch>
      </xdr:blipFill>
      <xdr:spPr>
        <a:xfrm>
          <a:off x="4817745" y="60960"/>
          <a:ext cx="6839559" cy="114681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358140</xdr:colOff>
      <xdr:row>0</xdr:row>
      <xdr:rowOff>0</xdr:rowOff>
    </xdr:from>
    <xdr:to>
      <xdr:col>6</xdr:col>
      <xdr:colOff>777849</xdr:colOff>
      <xdr:row>6</xdr:row>
      <xdr:rowOff>129540</xdr:rowOff>
    </xdr:to>
    <xdr:pic>
      <xdr:nvPicPr>
        <xdr:cNvPr id="3" name="Imagen 2">
          <a:extLst>
            <a:ext uri="{FF2B5EF4-FFF2-40B4-BE49-F238E27FC236}">
              <a16:creationId xmlns:a16="http://schemas.microsoft.com/office/drawing/2014/main" id="{8969C04A-6A9B-4804-9000-D15304A793B3}"/>
            </a:ext>
          </a:extLst>
        </xdr:cNvPr>
        <xdr:cNvPicPr>
          <a:picLocks noChangeAspect="1"/>
        </xdr:cNvPicPr>
      </xdr:nvPicPr>
      <xdr:blipFill>
        <a:blip xmlns:r="http://schemas.openxmlformats.org/officeDocument/2006/relationships" r:embed="rId1"/>
        <a:stretch>
          <a:fillRect/>
        </a:stretch>
      </xdr:blipFill>
      <xdr:spPr>
        <a:xfrm>
          <a:off x="5158740" y="0"/>
          <a:ext cx="7026249" cy="122682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251460</xdr:colOff>
      <xdr:row>0</xdr:row>
      <xdr:rowOff>0</xdr:rowOff>
    </xdr:from>
    <xdr:to>
      <xdr:col>6</xdr:col>
      <xdr:colOff>671169</xdr:colOff>
      <xdr:row>6</xdr:row>
      <xdr:rowOff>129540</xdr:rowOff>
    </xdr:to>
    <xdr:pic>
      <xdr:nvPicPr>
        <xdr:cNvPr id="3" name="Imagen 2">
          <a:extLst>
            <a:ext uri="{FF2B5EF4-FFF2-40B4-BE49-F238E27FC236}">
              <a16:creationId xmlns:a16="http://schemas.microsoft.com/office/drawing/2014/main" id="{12ADA8CE-0CCC-47E0-9A49-C511B92292E7}"/>
            </a:ext>
          </a:extLst>
        </xdr:cNvPr>
        <xdr:cNvPicPr>
          <a:picLocks noChangeAspect="1"/>
        </xdr:cNvPicPr>
      </xdr:nvPicPr>
      <xdr:blipFill>
        <a:blip xmlns:r="http://schemas.openxmlformats.org/officeDocument/2006/relationships" r:embed="rId1"/>
        <a:stretch>
          <a:fillRect/>
        </a:stretch>
      </xdr:blipFill>
      <xdr:spPr>
        <a:xfrm>
          <a:off x="5052060" y="0"/>
          <a:ext cx="7026249" cy="122682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2636520</xdr:colOff>
      <xdr:row>0</xdr:row>
      <xdr:rowOff>53340</xdr:rowOff>
    </xdr:from>
    <xdr:to>
      <xdr:col>6</xdr:col>
      <xdr:colOff>282549</xdr:colOff>
      <xdr:row>7</xdr:row>
      <xdr:rowOff>0</xdr:rowOff>
    </xdr:to>
    <xdr:pic>
      <xdr:nvPicPr>
        <xdr:cNvPr id="3" name="Imagen 2">
          <a:extLst>
            <a:ext uri="{FF2B5EF4-FFF2-40B4-BE49-F238E27FC236}">
              <a16:creationId xmlns:a16="http://schemas.microsoft.com/office/drawing/2014/main" id="{11527FE7-2FD7-423E-B60C-CE040EF008C4}"/>
            </a:ext>
          </a:extLst>
        </xdr:cNvPr>
        <xdr:cNvPicPr>
          <a:picLocks noChangeAspect="1"/>
        </xdr:cNvPicPr>
      </xdr:nvPicPr>
      <xdr:blipFill>
        <a:blip xmlns:r="http://schemas.openxmlformats.org/officeDocument/2006/relationships" r:embed="rId1"/>
        <a:stretch>
          <a:fillRect/>
        </a:stretch>
      </xdr:blipFill>
      <xdr:spPr>
        <a:xfrm>
          <a:off x="4663440" y="53340"/>
          <a:ext cx="7026249" cy="122682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525780</xdr:colOff>
      <xdr:row>0</xdr:row>
      <xdr:rowOff>0</xdr:rowOff>
    </xdr:from>
    <xdr:to>
      <xdr:col>6</xdr:col>
      <xdr:colOff>945489</xdr:colOff>
      <xdr:row>6</xdr:row>
      <xdr:rowOff>129540</xdr:rowOff>
    </xdr:to>
    <xdr:pic>
      <xdr:nvPicPr>
        <xdr:cNvPr id="3" name="Imagen 2">
          <a:extLst>
            <a:ext uri="{FF2B5EF4-FFF2-40B4-BE49-F238E27FC236}">
              <a16:creationId xmlns:a16="http://schemas.microsoft.com/office/drawing/2014/main" id="{3E4A7A21-0911-4849-AE6E-308A669B6CA0}"/>
            </a:ext>
          </a:extLst>
        </xdr:cNvPr>
        <xdr:cNvPicPr>
          <a:picLocks noChangeAspect="1"/>
        </xdr:cNvPicPr>
      </xdr:nvPicPr>
      <xdr:blipFill>
        <a:blip xmlns:r="http://schemas.openxmlformats.org/officeDocument/2006/relationships" r:embed="rId1"/>
        <a:stretch>
          <a:fillRect/>
        </a:stretch>
      </xdr:blipFill>
      <xdr:spPr>
        <a:xfrm>
          <a:off x="5326380" y="0"/>
          <a:ext cx="7026249" cy="122682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335280</xdr:colOff>
      <xdr:row>0</xdr:row>
      <xdr:rowOff>175260</xdr:rowOff>
    </xdr:from>
    <xdr:to>
      <xdr:col>6</xdr:col>
      <xdr:colOff>754989</xdr:colOff>
      <xdr:row>7</xdr:row>
      <xdr:rowOff>121920</xdr:rowOff>
    </xdr:to>
    <xdr:pic>
      <xdr:nvPicPr>
        <xdr:cNvPr id="3" name="Imagen 2">
          <a:extLst>
            <a:ext uri="{FF2B5EF4-FFF2-40B4-BE49-F238E27FC236}">
              <a16:creationId xmlns:a16="http://schemas.microsoft.com/office/drawing/2014/main" id="{36669C9B-48C3-4EF4-B8A2-6883EB0439B2}"/>
            </a:ext>
          </a:extLst>
        </xdr:cNvPr>
        <xdr:cNvPicPr>
          <a:picLocks noChangeAspect="1"/>
        </xdr:cNvPicPr>
      </xdr:nvPicPr>
      <xdr:blipFill>
        <a:blip xmlns:r="http://schemas.openxmlformats.org/officeDocument/2006/relationships" r:embed="rId1"/>
        <a:stretch>
          <a:fillRect/>
        </a:stretch>
      </xdr:blipFill>
      <xdr:spPr>
        <a:xfrm>
          <a:off x="5135880" y="175260"/>
          <a:ext cx="7026249" cy="122682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335280</xdr:colOff>
      <xdr:row>0</xdr:row>
      <xdr:rowOff>175260</xdr:rowOff>
    </xdr:from>
    <xdr:to>
      <xdr:col>6</xdr:col>
      <xdr:colOff>754989</xdr:colOff>
      <xdr:row>7</xdr:row>
      <xdr:rowOff>74295</xdr:rowOff>
    </xdr:to>
    <xdr:pic>
      <xdr:nvPicPr>
        <xdr:cNvPr id="2" name="Imagen 2">
          <a:extLst>
            <a:ext uri="{FF2B5EF4-FFF2-40B4-BE49-F238E27FC236}">
              <a16:creationId xmlns:a16="http://schemas.microsoft.com/office/drawing/2014/main" id="{B98E64F8-04BF-4530-BBBE-451FE0C75BA7}"/>
            </a:ext>
          </a:extLst>
        </xdr:cNvPr>
        <xdr:cNvPicPr>
          <a:picLocks noChangeAspect="1"/>
        </xdr:cNvPicPr>
      </xdr:nvPicPr>
      <xdr:blipFill>
        <a:blip xmlns:r="http://schemas.openxmlformats.org/officeDocument/2006/relationships" r:embed="rId1"/>
        <a:stretch>
          <a:fillRect/>
        </a:stretch>
      </xdr:blipFill>
      <xdr:spPr>
        <a:xfrm>
          <a:off x="5002530" y="175260"/>
          <a:ext cx="6839559" cy="121348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335280</xdr:colOff>
      <xdr:row>0</xdr:row>
      <xdr:rowOff>175260</xdr:rowOff>
    </xdr:from>
    <xdr:to>
      <xdr:col>6</xdr:col>
      <xdr:colOff>754989</xdr:colOff>
      <xdr:row>6</xdr:row>
      <xdr:rowOff>131445</xdr:rowOff>
    </xdr:to>
    <xdr:pic>
      <xdr:nvPicPr>
        <xdr:cNvPr id="2" name="Imagen 2">
          <a:extLst>
            <a:ext uri="{FF2B5EF4-FFF2-40B4-BE49-F238E27FC236}">
              <a16:creationId xmlns:a16="http://schemas.microsoft.com/office/drawing/2014/main" id="{8D4B1C46-277C-48A0-9117-0948C0E520EC}"/>
            </a:ext>
          </a:extLst>
        </xdr:cNvPr>
        <xdr:cNvPicPr>
          <a:picLocks noChangeAspect="1"/>
        </xdr:cNvPicPr>
      </xdr:nvPicPr>
      <xdr:blipFill>
        <a:blip xmlns:r="http://schemas.openxmlformats.org/officeDocument/2006/relationships" r:embed="rId1"/>
        <a:stretch>
          <a:fillRect/>
        </a:stretch>
      </xdr:blipFill>
      <xdr:spPr>
        <a:xfrm>
          <a:off x="4993005" y="175260"/>
          <a:ext cx="6839559" cy="109918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335280</xdr:colOff>
      <xdr:row>0</xdr:row>
      <xdr:rowOff>175260</xdr:rowOff>
    </xdr:from>
    <xdr:to>
      <xdr:col>6</xdr:col>
      <xdr:colOff>754989</xdr:colOff>
      <xdr:row>6</xdr:row>
      <xdr:rowOff>131445</xdr:rowOff>
    </xdr:to>
    <xdr:pic>
      <xdr:nvPicPr>
        <xdr:cNvPr id="2" name="Imagen 2">
          <a:extLst>
            <a:ext uri="{FF2B5EF4-FFF2-40B4-BE49-F238E27FC236}">
              <a16:creationId xmlns:a16="http://schemas.microsoft.com/office/drawing/2014/main" id="{9E591F3F-F5DB-4CF6-8BB1-87C66D9DC598}"/>
            </a:ext>
          </a:extLst>
        </xdr:cNvPr>
        <xdr:cNvPicPr>
          <a:picLocks noChangeAspect="1"/>
        </xdr:cNvPicPr>
      </xdr:nvPicPr>
      <xdr:blipFill>
        <a:blip xmlns:r="http://schemas.openxmlformats.org/officeDocument/2006/relationships" r:embed="rId1"/>
        <a:stretch>
          <a:fillRect/>
        </a:stretch>
      </xdr:blipFill>
      <xdr:spPr>
        <a:xfrm>
          <a:off x="4993005" y="175260"/>
          <a:ext cx="6839559" cy="109918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335280</xdr:colOff>
      <xdr:row>0</xdr:row>
      <xdr:rowOff>175260</xdr:rowOff>
    </xdr:from>
    <xdr:to>
      <xdr:col>6</xdr:col>
      <xdr:colOff>754989</xdr:colOff>
      <xdr:row>6</xdr:row>
      <xdr:rowOff>131445</xdr:rowOff>
    </xdr:to>
    <xdr:pic>
      <xdr:nvPicPr>
        <xdr:cNvPr id="2" name="Imagen 2">
          <a:extLst>
            <a:ext uri="{FF2B5EF4-FFF2-40B4-BE49-F238E27FC236}">
              <a16:creationId xmlns:a16="http://schemas.microsoft.com/office/drawing/2014/main" id="{CE709A86-A5C7-45BF-9AC5-35EF946EF5AB}"/>
            </a:ext>
          </a:extLst>
        </xdr:cNvPr>
        <xdr:cNvPicPr>
          <a:picLocks noChangeAspect="1"/>
        </xdr:cNvPicPr>
      </xdr:nvPicPr>
      <xdr:blipFill>
        <a:blip xmlns:r="http://schemas.openxmlformats.org/officeDocument/2006/relationships" r:embed="rId1"/>
        <a:stretch>
          <a:fillRect/>
        </a:stretch>
      </xdr:blipFill>
      <xdr:spPr>
        <a:xfrm>
          <a:off x="4993005" y="175260"/>
          <a:ext cx="6839559" cy="109918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D9276-9B0C-42A1-8A3A-2DEFE18F4359}">
  <dimension ref="A6:J282"/>
  <sheetViews>
    <sheetView tabSelected="1" workbookViewId="0">
      <selection activeCell="B238" sqref="B238"/>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1</v>
      </c>
      <c r="B10" s="356"/>
      <c r="C10" s="356"/>
      <c r="D10" s="356"/>
      <c r="E10" s="356"/>
      <c r="F10" s="356"/>
      <c r="G10" s="356"/>
      <c r="H10" s="356"/>
      <c r="I10" s="356"/>
      <c r="J10" s="356"/>
    </row>
    <row r="11" spans="1:10">
      <c r="A11" s="2" t="s">
        <v>2</v>
      </c>
      <c r="B11" s="3"/>
      <c r="C11" s="2"/>
      <c r="D11" s="1"/>
      <c r="F11" s="1"/>
    </row>
    <row r="12" spans="1:10">
      <c r="B12" s="1"/>
      <c r="D12" s="1"/>
      <c r="F12" s="1"/>
    </row>
    <row r="13" spans="1:10" ht="43.2">
      <c r="A13" s="4" t="s">
        <v>3</v>
      </c>
      <c r="B13" s="5" t="s">
        <v>4</v>
      </c>
      <c r="C13" s="4" t="s">
        <v>5</v>
      </c>
      <c r="D13" s="5" t="s">
        <v>6</v>
      </c>
      <c r="E13" s="4" t="s">
        <v>7</v>
      </c>
      <c r="F13" s="17" t="s">
        <v>8</v>
      </c>
      <c r="G13" s="4" t="s">
        <v>9</v>
      </c>
      <c r="H13" s="4" t="s">
        <v>10</v>
      </c>
    </row>
    <row r="14" spans="1:10" ht="72">
      <c r="A14" s="28" t="s">
        <v>11</v>
      </c>
      <c r="B14" s="32" t="s">
        <v>12</v>
      </c>
      <c r="C14" s="93" t="s">
        <v>13</v>
      </c>
      <c r="D14" s="9" t="s">
        <v>14</v>
      </c>
      <c r="E14" s="96" t="s">
        <v>15</v>
      </c>
      <c r="F14" s="60"/>
      <c r="G14" s="61" t="s">
        <v>16</v>
      </c>
      <c r="H14" s="32"/>
    </row>
    <row r="15" spans="1:10" ht="57.6">
      <c r="A15" s="28" t="s">
        <v>11</v>
      </c>
      <c r="B15" s="32" t="s">
        <v>17</v>
      </c>
      <c r="C15" s="93" t="s">
        <v>18</v>
      </c>
      <c r="D15" s="9" t="s">
        <v>19</v>
      </c>
      <c r="E15" s="96" t="s">
        <v>20</v>
      </c>
      <c r="F15" s="60"/>
      <c r="G15" s="61"/>
      <c r="H15" s="32"/>
    </row>
    <row r="16" spans="1:10" ht="115.2">
      <c r="A16" s="28" t="s">
        <v>11</v>
      </c>
      <c r="B16" s="29" t="s">
        <v>21</v>
      </c>
      <c r="C16" s="94" t="s">
        <v>22</v>
      </c>
      <c r="D16" s="47" t="s">
        <v>14</v>
      </c>
      <c r="E16" s="97" t="s">
        <v>23</v>
      </c>
      <c r="F16" s="62"/>
      <c r="G16" s="63" t="s">
        <v>16</v>
      </c>
      <c r="H16" s="29"/>
    </row>
    <row r="17" spans="1:8" ht="72">
      <c r="A17" s="28" t="s">
        <v>11</v>
      </c>
      <c r="B17" s="29" t="s">
        <v>24</v>
      </c>
      <c r="C17" s="94" t="s">
        <v>25</v>
      </c>
      <c r="D17" s="47" t="s">
        <v>14</v>
      </c>
      <c r="E17" s="97" t="s">
        <v>26</v>
      </c>
      <c r="F17" s="62"/>
      <c r="G17" s="63" t="s">
        <v>16</v>
      </c>
      <c r="H17" s="29"/>
    </row>
    <row r="18" spans="1:8" ht="43.2">
      <c r="A18" s="28" t="s">
        <v>11</v>
      </c>
      <c r="B18" s="29" t="s">
        <v>17</v>
      </c>
      <c r="C18" s="94" t="s">
        <v>27</v>
      </c>
      <c r="D18" s="47" t="s">
        <v>28</v>
      </c>
      <c r="E18" s="97" t="s">
        <v>29</v>
      </c>
      <c r="F18" s="62"/>
      <c r="G18" s="63" t="s">
        <v>16</v>
      </c>
      <c r="H18" s="29"/>
    </row>
    <row r="19" spans="1:8" ht="28.8">
      <c r="A19" s="28" t="s">
        <v>11</v>
      </c>
      <c r="B19" s="29" t="s">
        <v>17</v>
      </c>
      <c r="C19" s="94" t="s">
        <v>30</v>
      </c>
      <c r="D19" s="47" t="s">
        <v>14</v>
      </c>
      <c r="E19" s="97" t="s">
        <v>31</v>
      </c>
      <c r="F19" s="62"/>
      <c r="G19" s="63" t="s">
        <v>16</v>
      </c>
      <c r="H19" s="29"/>
    </row>
    <row r="20" spans="1:8" ht="43.2">
      <c r="A20" s="28" t="s">
        <v>11</v>
      </c>
      <c r="B20" s="29" t="s">
        <v>17</v>
      </c>
      <c r="C20" s="94" t="s">
        <v>32</v>
      </c>
      <c r="D20" s="47" t="s">
        <v>19</v>
      </c>
      <c r="E20" s="97" t="s">
        <v>29</v>
      </c>
      <c r="F20" s="62"/>
      <c r="G20" s="63" t="s">
        <v>16</v>
      </c>
      <c r="H20" s="29"/>
    </row>
    <row r="21" spans="1:8" ht="72">
      <c r="A21" s="28" t="s">
        <v>11</v>
      </c>
      <c r="B21" s="29" t="s">
        <v>17</v>
      </c>
      <c r="C21" s="94" t="s">
        <v>33</v>
      </c>
      <c r="D21" s="47" t="s">
        <v>14</v>
      </c>
      <c r="E21" s="97" t="s">
        <v>15</v>
      </c>
      <c r="F21" s="62"/>
      <c r="G21" s="63" t="s">
        <v>16</v>
      </c>
      <c r="H21" s="29"/>
    </row>
    <row r="22" spans="1:8" ht="43.2">
      <c r="A22" s="28" t="s">
        <v>11</v>
      </c>
      <c r="B22" s="29" t="s">
        <v>17</v>
      </c>
      <c r="C22" s="94" t="s">
        <v>34</v>
      </c>
      <c r="D22" s="47" t="s">
        <v>19</v>
      </c>
      <c r="E22" s="97" t="s">
        <v>35</v>
      </c>
      <c r="F22" s="62"/>
      <c r="G22" s="63" t="s">
        <v>16</v>
      </c>
      <c r="H22" s="29"/>
    </row>
    <row r="23" spans="1:8" ht="43.2">
      <c r="A23" s="28" t="s">
        <v>11</v>
      </c>
      <c r="B23" s="29" t="s">
        <v>17</v>
      </c>
      <c r="C23" s="94" t="s">
        <v>36</v>
      </c>
      <c r="D23" s="47" t="s">
        <v>14</v>
      </c>
      <c r="E23" s="97" t="s">
        <v>26</v>
      </c>
      <c r="F23" s="62"/>
      <c r="G23" s="63" t="s">
        <v>16</v>
      </c>
      <c r="H23" s="29"/>
    </row>
    <row r="24" spans="1:8" ht="57.6">
      <c r="A24" s="28"/>
      <c r="B24" s="30" t="s">
        <v>17</v>
      </c>
      <c r="C24" s="95" t="s">
        <v>37</v>
      </c>
      <c r="D24" s="47" t="s">
        <v>19</v>
      </c>
      <c r="E24" s="98" t="s">
        <v>38</v>
      </c>
      <c r="F24" s="64"/>
      <c r="G24" s="65" t="s">
        <v>16</v>
      </c>
      <c r="H24" s="30"/>
    </row>
    <row r="25" spans="1:8" ht="72">
      <c r="A25" s="31" t="s">
        <v>11</v>
      </c>
      <c r="B25" s="88" t="s">
        <v>39</v>
      </c>
      <c r="C25" s="100" t="s">
        <v>40</v>
      </c>
      <c r="D25" s="29" t="s">
        <v>19</v>
      </c>
      <c r="E25" s="120" t="s">
        <v>41</v>
      </c>
      <c r="F25" s="226">
        <v>45946</v>
      </c>
      <c r="G25" s="225" t="s">
        <v>16</v>
      </c>
      <c r="H25" s="11"/>
    </row>
    <row r="26" spans="1:8" ht="171.6">
      <c r="A26" s="76" t="s">
        <v>42</v>
      </c>
      <c r="B26" s="235" t="s">
        <v>43</v>
      </c>
      <c r="C26" s="235" t="s">
        <v>44</v>
      </c>
      <c r="D26" s="235" t="s">
        <v>45</v>
      </c>
      <c r="E26" s="235" t="s">
        <v>46</v>
      </c>
      <c r="F26" s="243">
        <v>45937</v>
      </c>
      <c r="G26" s="237" t="s">
        <v>47</v>
      </c>
      <c r="H26" s="9" t="s">
        <v>48</v>
      </c>
    </row>
    <row r="27" spans="1:8" ht="78">
      <c r="A27" s="76" t="s">
        <v>42</v>
      </c>
      <c r="B27" s="234" t="s">
        <v>49</v>
      </c>
      <c r="C27" s="235" t="s">
        <v>50</v>
      </c>
      <c r="D27" s="235" t="s">
        <v>45</v>
      </c>
      <c r="E27" s="235" t="s">
        <v>51</v>
      </c>
      <c r="F27" s="243">
        <v>45947</v>
      </c>
      <c r="G27" s="23"/>
      <c r="H27" s="235" t="s">
        <v>52</v>
      </c>
    </row>
    <row r="28" spans="1:8" ht="78">
      <c r="A28" s="76" t="s">
        <v>42</v>
      </c>
      <c r="B28" s="234" t="s">
        <v>53</v>
      </c>
      <c r="C28" s="235" t="s">
        <v>50</v>
      </c>
      <c r="D28" s="235" t="s">
        <v>45</v>
      </c>
      <c r="E28" s="235" t="s">
        <v>54</v>
      </c>
      <c r="F28" s="244">
        <v>45947</v>
      </c>
      <c r="G28" s="23"/>
      <c r="H28" s="238" t="s">
        <v>55</v>
      </c>
    </row>
    <row r="29" spans="1:8" ht="46.8">
      <c r="A29" s="76" t="s">
        <v>42</v>
      </c>
      <c r="B29" s="269" t="s">
        <v>56</v>
      </c>
      <c r="C29" s="269" t="s">
        <v>57</v>
      </c>
      <c r="D29" s="235" t="s">
        <v>58</v>
      </c>
      <c r="E29" s="235" t="s">
        <v>51</v>
      </c>
      <c r="F29" s="244">
        <v>45951</v>
      </c>
      <c r="G29" s="23"/>
      <c r="H29" s="238"/>
    </row>
    <row r="30" spans="1:8" ht="15.6">
      <c r="A30" s="76" t="s">
        <v>42</v>
      </c>
      <c r="B30" s="269" t="s">
        <v>59</v>
      </c>
      <c r="C30" s="269" t="s">
        <v>57</v>
      </c>
      <c r="D30" s="235" t="s">
        <v>58</v>
      </c>
      <c r="E30" s="269" t="s">
        <v>60</v>
      </c>
      <c r="F30" s="244">
        <v>45957</v>
      </c>
      <c r="G30" s="23"/>
      <c r="H30" s="238"/>
    </row>
    <row r="31" spans="1:8" ht="46.8">
      <c r="A31" s="76" t="s">
        <v>42</v>
      </c>
      <c r="B31" s="263" t="s">
        <v>56</v>
      </c>
      <c r="C31" s="263" t="s">
        <v>57</v>
      </c>
      <c r="D31" s="235" t="s">
        <v>58</v>
      </c>
      <c r="E31" s="269" t="s">
        <v>51</v>
      </c>
      <c r="F31" s="269" t="s">
        <v>61</v>
      </c>
      <c r="G31" s="23"/>
      <c r="H31" s="238"/>
    </row>
    <row r="32" spans="1:8" ht="62.4">
      <c r="A32" s="76" t="s">
        <v>42</v>
      </c>
      <c r="B32" s="235" t="s">
        <v>62</v>
      </c>
      <c r="C32" s="235" t="s">
        <v>57</v>
      </c>
      <c r="D32" s="235"/>
      <c r="E32" s="268" t="s">
        <v>51</v>
      </c>
      <c r="F32" s="244">
        <v>45986</v>
      </c>
      <c r="G32" s="23"/>
      <c r="H32" s="238"/>
    </row>
    <row r="33" spans="1:8" ht="93.6">
      <c r="A33" s="76" t="s">
        <v>42</v>
      </c>
      <c r="B33" s="235" t="s">
        <v>56</v>
      </c>
      <c r="C33" s="236" t="s">
        <v>63</v>
      </c>
      <c r="D33" s="235" t="s">
        <v>64</v>
      </c>
      <c r="E33" s="235" t="s">
        <v>54</v>
      </c>
      <c r="F33" s="244">
        <v>45951</v>
      </c>
      <c r="G33" s="23"/>
      <c r="H33" s="238" t="s">
        <v>65</v>
      </c>
    </row>
    <row r="34" spans="1:8" ht="72">
      <c r="A34" s="76" t="s">
        <v>42</v>
      </c>
      <c r="B34" s="233" t="s">
        <v>66</v>
      </c>
      <c r="C34" s="29" t="s">
        <v>67</v>
      </c>
      <c r="D34" s="29" t="s">
        <v>68</v>
      </c>
      <c r="E34" s="9" t="s">
        <v>69</v>
      </c>
      <c r="F34" s="18">
        <v>45951</v>
      </c>
      <c r="G34" s="23"/>
      <c r="H34" s="18">
        <v>45951</v>
      </c>
    </row>
    <row r="35" spans="1:8" ht="93">
      <c r="A35" s="76" t="s">
        <v>42</v>
      </c>
      <c r="B35" s="227" t="s">
        <v>70</v>
      </c>
      <c r="C35" s="227" t="s">
        <v>71</v>
      </c>
      <c r="D35" s="29" t="s">
        <v>68</v>
      </c>
      <c r="E35" s="227" t="s">
        <v>72</v>
      </c>
      <c r="F35" s="18">
        <v>45950</v>
      </c>
      <c r="G35" s="23"/>
      <c r="H35" s="18">
        <v>45950</v>
      </c>
    </row>
    <row r="36" spans="1:8" ht="53.4">
      <c r="A36" s="76" t="s">
        <v>42</v>
      </c>
      <c r="B36" s="227" t="s">
        <v>73</v>
      </c>
      <c r="C36" s="227" t="s">
        <v>74</v>
      </c>
      <c r="D36" s="29" t="s">
        <v>68</v>
      </c>
      <c r="E36" s="9" t="s">
        <v>75</v>
      </c>
      <c r="F36" s="18">
        <v>45982</v>
      </c>
      <c r="G36" s="23"/>
      <c r="H36" s="18">
        <v>45982</v>
      </c>
    </row>
    <row r="37" spans="1:8" ht="86.4">
      <c r="A37" s="76" t="s">
        <v>42</v>
      </c>
      <c r="B37" s="228" t="s">
        <v>76</v>
      </c>
      <c r="C37" s="29" t="s">
        <v>77</v>
      </c>
      <c r="D37" s="29" t="s">
        <v>78</v>
      </c>
      <c r="E37" s="9" t="s">
        <v>79</v>
      </c>
      <c r="F37" s="18"/>
      <c r="G37" s="23"/>
      <c r="H37" s="18"/>
    </row>
    <row r="38" spans="1:8" ht="43.2">
      <c r="A38" s="76" t="s">
        <v>42</v>
      </c>
      <c r="B38" s="239" t="s">
        <v>80</v>
      </c>
      <c r="C38" s="239" t="s">
        <v>81</v>
      </c>
      <c r="D38" s="239" t="s">
        <v>64</v>
      </c>
      <c r="E38" s="240"/>
      <c r="F38" s="241">
        <v>45960</v>
      </c>
      <c r="G38" s="242"/>
      <c r="H38" s="241">
        <v>45960</v>
      </c>
    </row>
    <row r="39" spans="1:8" ht="42">
      <c r="A39" s="76" t="s">
        <v>42</v>
      </c>
      <c r="B39" s="231" t="s">
        <v>82</v>
      </c>
      <c r="C39" s="29"/>
      <c r="D39" s="29" t="s">
        <v>83</v>
      </c>
      <c r="E39" s="9"/>
      <c r="F39" s="18"/>
      <c r="G39" s="23"/>
      <c r="H39" s="18"/>
    </row>
    <row r="40" spans="1:8" ht="57.6">
      <c r="A40" s="76" t="s">
        <v>42</v>
      </c>
      <c r="B40" s="229" t="s">
        <v>84</v>
      </c>
      <c r="C40" s="29"/>
      <c r="D40" s="29" t="s">
        <v>85</v>
      </c>
      <c r="E40" s="9"/>
      <c r="F40" s="18"/>
      <c r="G40" s="23"/>
      <c r="H40" s="18"/>
    </row>
    <row r="41" spans="1:8" ht="86.4">
      <c r="A41" s="76" t="s">
        <v>42</v>
      </c>
      <c r="B41" s="230" t="s">
        <v>86</v>
      </c>
      <c r="C41" s="29" t="s">
        <v>87</v>
      </c>
      <c r="D41" s="29" t="s">
        <v>64</v>
      </c>
      <c r="E41" s="9" t="s">
        <v>88</v>
      </c>
      <c r="F41" s="18">
        <v>45938</v>
      </c>
      <c r="G41" s="23"/>
      <c r="H41" s="18">
        <v>45938</v>
      </c>
    </row>
    <row r="42" spans="1:8" ht="72">
      <c r="A42" s="76" t="s">
        <v>42</v>
      </c>
      <c r="B42" s="29" t="s">
        <v>89</v>
      </c>
      <c r="C42" s="29" t="s">
        <v>90</v>
      </c>
      <c r="D42" s="29" t="s">
        <v>83</v>
      </c>
      <c r="E42" s="9" t="s">
        <v>91</v>
      </c>
      <c r="F42" s="18"/>
      <c r="G42" s="23"/>
      <c r="H42" s="18"/>
    </row>
    <row r="43" spans="1:8" ht="43.2">
      <c r="A43" s="76" t="s">
        <v>42</v>
      </c>
      <c r="B43" s="29" t="s">
        <v>92</v>
      </c>
      <c r="C43" s="29" t="s">
        <v>93</v>
      </c>
      <c r="D43" s="29" t="s">
        <v>94</v>
      </c>
      <c r="E43" s="9"/>
      <c r="F43" s="18"/>
      <c r="G43" s="23"/>
      <c r="H43" s="18"/>
    </row>
    <row r="44" spans="1:8" ht="72">
      <c r="A44" s="76" t="s">
        <v>42</v>
      </c>
      <c r="B44" s="29" t="s">
        <v>95</v>
      </c>
      <c r="C44" s="29" t="s">
        <v>96</v>
      </c>
      <c r="D44" s="29" t="s">
        <v>97</v>
      </c>
      <c r="E44" s="9" t="s">
        <v>98</v>
      </c>
      <c r="F44" s="18"/>
      <c r="G44" s="23"/>
      <c r="H44" s="18"/>
    </row>
    <row r="45" spans="1:8" ht="86.4">
      <c r="A45" s="76" t="s">
        <v>42</v>
      </c>
      <c r="B45" s="29" t="s">
        <v>99</v>
      </c>
      <c r="C45" s="29" t="s">
        <v>100</v>
      </c>
      <c r="D45" s="29" t="s">
        <v>97</v>
      </c>
      <c r="E45" s="9" t="s">
        <v>101</v>
      </c>
      <c r="F45" s="18"/>
      <c r="G45" s="23"/>
      <c r="H45" s="18"/>
    </row>
    <row r="46" spans="1:8" ht="86.4">
      <c r="A46" s="76" t="s">
        <v>42</v>
      </c>
      <c r="B46" s="29" t="s">
        <v>102</v>
      </c>
      <c r="C46" s="29" t="s">
        <v>103</v>
      </c>
      <c r="D46" s="29" t="s">
        <v>104</v>
      </c>
      <c r="E46" s="9" t="s">
        <v>105</v>
      </c>
      <c r="F46" s="18"/>
      <c r="G46" s="23"/>
      <c r="H46" s="18"/>
    </row>
    <row r="47" spans="1:8" ht="43.2">
      <c r="A47" s="76" t="s">
        <v>42</v>
      </c>
      <c r="B47" s="29" t="s">
        <v>106</v>
      </c>
      <c r="C47" s="29" t="s">
        <v>107</v>
      </c>
      <c r="D47" s="29" t="s">
        <v>104</v>
      </c>
      <c r="E47" s="9" t="s">
        <v>108</v>
      </c>
      <c r="F47" s="18"/>
      <c r="G47" s="23"/>
      <c r="H47" s="18"/>
    </row>
    <row r="48" spans="1:8" ht="72">
      <c r="A48" s="76" t="s">
        <v>42</v>
      </c>
      <c r="B48" s="29" t="s">
        <v>109</v>
      </c>
      <c r="C48" s="29" t="s">
        <v>110</v>
      </c>
      <c r="D48" s="29" t="s">
        <v>83</v>
      </c>
      <c r="E48" s="9" t="s">
        <v>111</v>
      </c>
      <c r="F48" s="18"/>
      <c r="G48" s="23"/>
      <c r="H48" s="18"/>
    </row>
    <row r="49" spans="1:8" ht="129.6">
      <c r="A49" s="28" t="s">
        <v>112</v>
      </c>
      <c r="B49" s="29" t="s">
        <v>113</v>
      </c>
      <c r="C49" s="32" t="s">
        <v>114</v>
      </c>
      <c r="D49" s="32"/>
      <c r="E49" s="7" t="s">
        <v>115</v>
      </c>
      <c r="F49" s="8">
        <v>45976</v>
      </c>
      <c r="G49" s="22"/>
      <c r="H49" s="7" t="s">
        <v>116</v>
      </c>
    </row>
    <row r="50" spans="1:8" ht="86.4">
      <c r="A50" s="28" t="s">
        <v>112</v>
      </c>
      <c r="B50" t="s">
        <v>117</v>
      </c>
      <c r="C50" s="29" t="s">
        <v>118</v>
      </c>
      <c r="D50" s="29"/>
      <c r="E50" s="9" t="s">
        <v>119</v>
      </c>
      <c r="F50" s="18">
        <v>45954</v>
      </c>
      <c r="G50" s="23"/>
      <c r="H50" s="9"/>
    </row>
    <row r="51" spans="1:8" ht="43.2">
      <c r="A51" s="28" t="s">
        <v>112</v>
      </c>
      <c r="B51" s="29" t="s">
        <v>120</v>
      </c>
      <c r="C51" s="29" t="s">
        <v>121</v>
      </c>
      <c r="D51" s="29"/>
      <c r="E51" s="9" t="s">
        <v>122</v>
      </c>
      <c r="F51" s="18">
        <v>45958</v>
      </c>
      <c r="G51" s="23"/>
      <c r="H51" s="9"/>
    </row>
    <row r="52" spans="1:8" ht="100.8">
      <c r="A52" s="28" t="s">
        <v>112</v>
      </c>
      <c r="B52" s="29" t="s">
        <v>123</v>
      </c>
      <c r="C52" s="29" t="s">
        <v>124</v>
      </c>
      <c r="D52" s="29"/>
      <c r="E52" s="9" t="s">
        <v>125</v>
      </c>
      <c r="F52" s="18">
        <v>45991</v>
      </c>
      <c r="G52" s="23"/>
      <c r="H52" s="9"/>
    </row>
    <row r="53" spans="1:8" ht="43.2">
      <c r="A53" s="28" t="s">
        <v>112</v>
      </c>
      <c r="B53" s="29" t="s">
        <v>126</v>
      </c>
      <c r="C53" s="29" t="s">
        <v>127</v>
      </c>
      <c r="D53" s="29"/>
      <c r="E53" s="9" t="s">
        <v>128</v>
      </c>
      <c r="F53" s="18">
        <v>45993</v>
      </c>
      <c r="G53" s="23"/>
      <c r="H53" s="9"/>
    </row>
    <row r="54" spans="1:8" ht="72">
      <c r="A54" s="28" t="s">
        <v>112</v>
      </c>
      <c r="B54" s="29" t="s">
        <v>129</v>
      </c>
      <c r="C54" s="29" t="s">
        <v>130</v>
      </c>
      <c r="D54" s="29"/>
      <c r="E54" s="9" t="s">
        <v>131</v>
      </c>
      <c r="F54" s="18">
        <v>45943</v>
      </c>
      <c r="G54" s="23"/>
      <c r="H54" s="9"/>
    </row>
    <row r="55" spans="1:8" ht="43.2">
      <c r="A55" s="28" t="s">
        <v>112</v>
      </c>
      <c r="B55" s="29" t="s">
        <v>132</v>
      </c>
      <c r="C55" s="29" t="s">
        <v>133</v>
      </c>
      <c r="D55" s="29"/>
      <c r="E55" s="9">
        <v>6</v>
      </c>
      <c r="F55" s="18"/>
      <c r="G55" s="23"/>
      <c r="H55" s="9"/>
    </row>
    <row r="56" spans="1:8" ht="57.6">
      <c r="A56" s="28" t="s">
        <v>112</v>
      </c>
      <c r="B56" s="29" t="s">
        <v>134</v>
      </c>
      <c r="C56" s="29" t="s">
        <v>135</v>
      </c>
      <c r="D56" s="29"/>
      <c r="E56" s="9">
        <v>6</v>
      </c>
      <c r="F56" s="18"/>
      <c r="G56" s="23"/>
      <c r="H56" s="9"/>
    </row>
    <row r="57" spans="1:8" ht="86.4">
      <c r="A57" s="28" t="s">
        <v>112</v>
      </c>
      <c r="B57" s="29" t="s">
        <v>136</v>
      </c>
      <c r="C57" s="29" t="s">
        <v>137</v>
      </c>
      <c r="D57" s="29"/>
      <c r="E57" s="9">
        <v>35</v>
      </c>
      <c r="F57" s="18">
        <v>46002</v>
      </c>
      <c r="G57" s="23"/>
      <c r="H57" s="9"/>
    </row>
    <row r="58" spans="1:8" ht="115.2">
      <c r="A58" s="148" t="s">
        <v>138</v>
      </c>
      <c r="B58" s="56" t="s">
        <v>139</v>
      </c>
      <c r="C58" s="56" t="s">
        <v>140</v>
      </c>
      <c r="D58" s="57" t="s">
        <v>141</v>
      </c>
      <c r="E58" s="152" t="s">
        <v>142</v>
      </c>
      <c r="F58" s="153">
        <v>45931</v>
      </c>
      <c r="G58" s="57" t="s">
        <v>47</v>
      </c>
      <c r="H58" s="50" t="s">
        <v>143</v>
      </c>
    </row>
    <row r="59" spans="1:8" ht="57.6">
      <c r="A59" s="148" t="s">
        <v>138</v>
      </c>
      <c r="B59" s="58" t="s">
        <v>144</v>
      </c>
      <c r="C59" s="58" t="s">
        <v>145</v>
      </c>
      <c r="D59" s="150" t="s">
        <v>146</v>
      </c>
      <c r="E59" s="149" t="s">
        <v>147</v>
      </c>
      <c r="F59" s="58"/>
      <c r="G59" s="151" t="s">
        <v>148</v>
      </c>
      <c r="H59" s="59"/>
    </row>
    <row r="60" spans="1:8" ht="158.4">
      <c r="A60" s="148" t="s">
        <v>138</v>
      </c>
      <c r="B60" s="147" t="s">
        <v>149</v>
      </c>
      <c r="C60" s="50" t="s">
        <v>150</v>
      </c>
      <c r="D60" s="50" t="s">
        <v>141</v>
      </c>
      <c r="E60" s="53" t="s">
        <v>151</v>
      </c>
      <c r="F60" s="51"/>
      <c r="G60" s="50" t="s">
        <v>148</v>
      </c>
      <c r="H60" s="57" t="s">
        <v>152</v>
      </c>
    </row>
    <row r="61" spans="1:8" ht="72">
      <c r="A61" s="148" t="s">
        <v>138</v>
      </c>
      <c r="B61" s="50" t="s">
        <v>153</v>
      </c>
      <c r="C61" s="147" t="s">
        <v>154</v>
      </c>
      <c r="D61" s="50" t="s">
        <v>146</v>
      </c>
      <c r="E61" s="52" t="s">
        <v>155</v>
      </c>
      <c r="F61" s="50"/>
      <c r="G61" s="50" t="s">
        <v>148</v>
      </c>
      <c r="H61" s="50" t="s">
        <v>152</v>
      </c>
    </row>
    <row r="62" spans="1:8" ht="100.8">
      <c r="A62" s="148" t="s">
        <v>138</v>
      </c>
      <c r="B62" s="50" t="s">
        <v>156</v>
      </c>
      <c r="C62" s="50" t="s">
        <v>157</v>
      </c>
      <c r="D62" s="50" t="s">
        <v>141</v>
      </c>
      <c r="E62" s="147" t="s">
        <v>158</v>
      </c>
      <c r="F62" s="50"/>
      <c r="G62" s="50" t="s">
        <v>148</v>
      </c>
      <c r="H62" s="50" t="s">
        <v>152</v>
      </c>
    </row>
    <row r="63" spans="1:8" ht="93.6">
      <c r="A63" s="76" t="s">
        <v>159</v>
      </c>
      <c r="B63" s="147" t="s">
        <v>160</v>
      </c>
      <c r="C63" s="155" t="s">
        <v>161</v>
      </c>
      <c r="D63" s="147" t="s">
        <v>162</v>
      </c>
      <c r="E63" s="147" t="s">
        <v>163</v>
      </c>
      <c r="F63" s="156">
        <v>45972</v>
      </c>
      <c r="G63" s="147" t="s">
        <v>152</v>
      </c>
      <c r="H63" s="147" t="s">
        <v>152</v>
      </c>
    </row>
    <row r="64" spans="1:8" ht="100.8">
      <c r="A64" s="76" t="s">
        <v>159</v>
      </c>
      <c r="B64" s="157" t="s">
        <v>164</v>
      </c>
      <c r="C64" s="157" t="s">
        <v>165</v>
      </c>
      <c r="D64" s="147" t="s">
        <v>162</v>
      </c>
      <c r="E64" s="158" t="s">
        <v>166</v>
      </c>
      <c r="F64" s="156">
        <v>45931</v>
      </c>
      <c r="G64" s="147" t="s">
        <v>167</v>
      </c>
      <c r="H64" s="147" t="s">
        <v>168</v>
      </c>
    </row>
    <row r="65" spans="1:8" ht="93.6">
      <c r="A65" s="76" t="s">
        <v>159</v>
      </c>
      <c r="B65" s="147" t="s">
        <v>169</v>
      </c>
      <c r="C65" s="155" t="s">
        <v>170</v>
      </c>
      <c r="D65" s="147" t="s">
        <v>162</v>
      </c>
      <c r="E65" s="147" t="s">
        <v>171</v>
      </c>
      <c r="F65" s="156">
        <v>45982</v>
      </c>
      <c r="G65" s="147" t="s">
        <v>152</v>
      </c>
      <c r="H65" s="59" t="s">
        <v>172</v>
      </c>
    </row>
    <row r="66" spans="1:8" ht="172.8">
      <c r="A66" s="76" t="s">
        <v>159</v>
      </c>
      <c r="B66" s="116" t="s">
        <v>173</v>
      </c>
      <c r="C66" s="116" t="s">
        <v>174</v>
      </c>
      <c r="D66" s="147" t="s">
        <v>162</v>
      </c>
      <c r="E66" s="147" t="s">
        <v>175</v>
      </c>
      <c r="F66" s="156">
        <v>45979</v>
      </c>
      <c r="G66" s="147" t="s">
        <v>152</v>
      </c>
      <c r="H66" s="147" t="s">
        <v>152</v>
      </c>
    </row>
    <row r="67" spans="1:8" ht="100.8">
      <c r="A67" s="76" t="s">
        <v>159</v>
      </c>
      <c r="B67" s="157" t="s">
        <v>176</v>
      </c>
      <c r="C67" s="157" t="s">
        <v>176</v>
      </c>
      <c r="D67" s="147" t="s">
        <v>162</v>
      </c>
      <c r="E67" s="147" t="s">
        <v>175</v>
      </c>
      <c r="F67" s="156">
        <v>46004</v>
      </c>
      <c r="G67" s="154" t="s">
        <v>152</v>
      </c>
      <c r="H67" s="154" t="s">
        <v>152</v>
      </c>
    </row>
    <row r="68" spans="1:8" ht="100.8">
      <c r="A68" s="76" t="s">
        <v>159</v>
      </c>
      <c r="B68" s="116" t="s">
        <v>177</v>
      </c>
      <c r="C68" s="116" t="s">
        <v>177</v>
      </c>
      <c r="D68" s="147" t="s">
        <v>162</v>
      </c>
      <c r="E68" s="147" t="s">
        <v>178</v>
      </c>
      <c r="F68" s="156">
        <v>45994</v>
      </c>
      <c r="G68" s="154" t="s">
        <v>152</v>
      </c>
      <c r="H68" s="154" t="s">
        <v>152</v>
      </c>
    </row>
    <row r="69" spans="1:8" ht="72">
      <c r="A69" s="28" t="s">
        <v>179</v>
      </c>
      <c r="B69" s="32" t="s">
        <v>180</v>
      </c>
      <c r="C69" s="32" t="s">
        <v>181</v>
      </c>
      <c r="D69" s="32" t="s">
        <v>182</v>
      </c>
      <c r="E69" s="7" t="s">
        <v>183</v>
      </c>
      <c r="F69" s="8"/>
      <c r="G69" s="39"/>
      <c r="H69" s="7"/>
    </row>
    <row r="70" spans="1:8" ht="57.6">
      <c r="A70" s="28" t="s">
        <v>179</v>
      </c>
      <c r="B70" s="29" t="s">
        <v>184</v>
      </c>
      <c r="C70" s="29" t="s">
        <v>185</v>
      </c>
      <c r="D70" s="29" t="s">
        <v>186</v>
      </c>
      <c r="E70" s="9">
        <v>10</v>
      </c>
      <c r="F70" s="18"/>
      <c r="G70" s="40"/>
      <c r="H70" s="9"/>
    </row>
    <row r="71" spans="1:8" ht="72">
      <c r="A71" s="28" t="s">
        <v>179</v>
      </c>
      <c r="B71" s="29" t="s">
        <v>184</v>
      </c>
      <c r="C71" s="29" t="s">
        <v>187</v>
      </c>
      <c r="D71" s="29" t="s">
        <v>188</v>
      </c>
      <c r="E71" s="9">
        <v>16</v>
      </c>
      <c r="F71" s="18"/>
      <c r="G71" s="40"/>
      <c r="H71" s="9"/>
    </row>
    <row r="72" spans="1:8" ht="72">
      <c r="A72" s="28" t="s">
        <v>179</v>
      </c>
      <c r="B72" s="29" t="s">
        <v>189</v>
      </c>
      <c r="C72" s="29" t="s">
        <v>190</v>
      </c>
      <c r="D72" s="29" t="s">
        <v>186</v>
      </c>
      <c r="E72" s="9"/>
      <c r="F72" s="18"/>
      <c r="G72" s="40"/>
      <c r="H72" s="9"/>
    </row>
    <row r="73" spans="1:8" ht="100.8">
      <c r="A73" s="28" t="s">
        <v>191</v>
      </c>
      <c r="B73" s="32" t="s">
        <v>192</v>
      </c>
      <c r="C73" s="211" t="s">
        <v>193</v>
      </c>
      <c r="D73" s="32" t="s">
        <v>194</v>
      </c>
      <c r="E73" s="7" t="s">
        <v>195</v>
      </c>
      <c r="F73" s="8">
        <v>45994</v>
      </c>
      <c r="G73" s="39"/>
      <c r="H73" s="7"/>
    </row>
    <row r="74" spans="1:8" ht="57.6">
      <c r="A74" s="28" t="s">
        <v>191</v>
      </c>
      <c r="B74" s="209" t="s">
        <v>196</v>
      </c>
      <c r="C74" s="212" t="s">
        <v>197</v>
      </c>
      <c r="D74" s="209" t="s">
        <v>194</v>
      </c>
      <c r="E74" s="208" t="s">
        <v>198</v>
      </c>
      <c r="F74" s="18">
        <v>45974</v>
      </c>
      <c r="G74" s="40"/>
      <c r="H74" s="9"/>
    </row>
    <row r="75" spans="1:8" ht="72">
      <c r="A75" s="28" t="s">
        <v>191</v>
      </c>
      <c r="B75" s="29" t="s">
        <v>199</v>
      </c>
      <c r="C75" s="29" t="s">
        <v>200</v>
      </c>
      <c r="D75" s="209" t="s">
        <v>194</v>
      </c>
      <c r="E75" s="9" t="s">
        <v>201</v>
      </c>
      <c r="F75" s="18">
        <v>45951</v>
      </c>
      <c r="G75" s="40"/>
      <c r="H75" s="9"/>
    </row>
    <row r="76" spans="1:8" ht="72">
      <c r="A76" s="28" t="s">
        <v>191</v>
      </c>
      <c r="B76" s="210" t="s">
        <v>202</v>
      </c>
      <c r="C76" s="213" t="s">
        <v>203</v>
      </c>
      <c r="D76" s="29" t="s">
        <v>194</v>
      </c>
      <c r="E76" s="9" t="s">
        <v>204</v>
      </c>
      <c r="F76" s="18"/>
      <c r="G76" s="40"/>
      <c r="H76" s="9"/>
    </row>
    <row r="77" spans="1:8" ht="69.599999999999994">
      <c r="A77" s="28" t="s">
        <v>191</v>
      </c>
      <c r="B77" s="29" t="s">
        <v>205</v>
      </c>
      <c r="C77" s="214" t="s">
        <v>206</v>
      </c>
      <c r="D77" s="29" t="s">
        <v>194</v>
      </c>
      <c r="E77" s="9" t="s">
        <v>207</v>
      </c>
      <c r="F77" s="18">
        <v>45958</v>
      </c>
      <c r="G77" s="40"/>
      <c r="H77" s="9"/>
    </row>
    <row r="78" spans="1:8" ht="72">
      <c r="A78" s="28" t="s">
        <v>191</v>
      </c>
      <c r="B78" s="30" t="s">
        <v>208</v>
      </c>
      <c r="C78" s="215" t="s">
        <v>209</v>
      </c>
      <c r="D78" s="29" t="s">
        <v>194</v>
      </c>
      <c r="E78" s="9" t="s">
        <v>210</v>
      </c>
      <c r="F78" s="18">
        <v>45966</v>
      </c>
      <c r="G78" s="40"/>
      <c r="H78" s="9"/>
    </row>
    <row r="79" spans="1:8" ht="57.6">
      <c r="A79" s="76" t="s">
        <v>191</v>
      </c>
      <c r="B79" s="245" t="s">
        <v>211</v>
      </c>
      <c r="C79" s="245" t="s">
        <v>212</v>
      </c>
      <c r="D79" s="71" t="s">
        <v>194</v>
      </c>
      <c r="E79" s="9" t="s">
        <v>213</v>
      </c>
      <c r="F79" s="18"/>
      <c r="G79" s="40"/>
      <c r="H79" s="9"/>
    </row>
    <row r="80" spans="1:8" ht="86.4">
      <c r="A80" s="28" t="s">
        <v>214</v>
      </c>
      <c r="B80" s="32" t="s">
        <v>215</v>
      </c>
      <c r="C80" s="32" t="s">
        <v>216</v>
      </c>
      <c r="D80" s="32" t="s">
        <v>217</v>
      </c>
      <c r="E80" s="7">
        <v>110</v>
      </c>
      <c r="F80" s="8">
        <v>45962</v>
      </c>
      <c r="G80" s="39"/>
      <c r="H80" s="19"/>
    </row>
    <row r="81" spans="1:8" ht="72">
      <c r="A81" s="28" t="s">
        <v>214</v>
      </c>
      <c r="B81" s="29" t="s">
        <v>218</v>
      </c>
      <c r="C81" s="29" t="s">
        <v>219</v>
      </c>
      <c r="D81" s="29" t="s">
        <v>217</v>
      </c>
      <c r="E81" s="9">
        <v>6</v>
      </c>
      <c r="F81" s="18">
        <v>45954</v>
      </c>
      <c r="G81" s="40"/>
      <c r="H81" s="19"/>
    </row>
    <row r="82" spans="1:8" ht="86.4">
      <c r="A82" s="28" t="s">
        <v>214</v>
      </c>
      <c r="B82" s="29" t="s">
        <v>220</v>
      </c>
      <c r="C82" s="29" t="s">
        <v>221</v>
      </c>
      <c r="D82" s="29" t="s">
        <v>217</v>
      </c>
      <c r="E82" s="9">
        <v>24</v>
      </c>
      <c r="F82" s="18">
        <v>45943</v>
      </c>
      <c r="G82" s="40"/>
      <c r="H82" s="19"/>
    </row>
    <row r="83" spans="1:8" ht="86.4">
      <c r="A83" s="28" t="s">
        <v>214</v>
      </c>
      <c r="B83" s="29" t="s">
        <v>222</v>
      </c>
      <c r="C83" s="29" t="s">
        <v>223</v>
      </c>
      <c r="D83" s="29" t="s">
        <v>217</v>
      </c>
      <c r="E83" s="9">
        <v>12</v>
      </c>
      <c r="F83" s="18">
        <v>45944</v>
      </c>
      <c r="G83" s="40"/>
      <c r="H83" s="19"/>
    </row>
    <row r="84" spans="1:8" ht="57.6">
      <c r="A84" s="28" t="s">
        <v>214</v>
      </c>
      <c r="B84" s="29" t="s">
        <v>224</v>
      </c>
      <c r="C84" s="29" t="s">
        <v>225</v>
      </c>
      <c r="D84" s="29" t="s">
        <v>217</v>
      </c>
      <c r="E84" s="9">
        <v>10</v>
      </c>
      <c r="F84" s="18">
        <v>45962</v>
      </c>
      <c r="G84" s="40"/>
      <c r="H84" s="19"/>
    </row>
    <row r="85" spans="1:8" ht="72">
      <c r="A85" s="28" t="s">
        <v>214</v>
      </c>
      <c r="B85" s="29" t="s">
        <v>226</v>
      </c>
      <c r="C85" s="29" t="s">
        <v>227</v>
      </c>
      <c r="D85" s="29" t="s">
        <v>217</v>
      </c>
      <c r="E85" s="9">
        <v>10</v>
      </c>
      <c r="F85" s="18">
        <v>45951</v>
      </c>
      <c r="G85" s="40"/>
      <c r="H85" s="19"/>
    </row>
    <row r="86" spans="1:8" ht="72">
      <c r="A86" s="28" t="s">
        <v>214</v>
      </c>
      <c r="B86" s="29" t="s">
        <v>228</v>
      </c>
      <c r="C86" s="29" t="s">
        <v>229</v>
      </c>
      <c r="D86" s="29" t="s">
        <v>217</v>
      </c>
      <c r="E86" s="9">
        <v>1</v>
      </c>
      <c r="F86" s="18">
        <v>45993</v>
      </c>
      <c r="G86" s="40"/>
      <c r="H86" s="19"/>
    </row>
    <row r="87" spans="1:8" ht="86.4">
      <c r="A87" s="28" t="s">
        <v>214</v>
      </c>
      <c r="B87" s="30" t="s">
        <v>230</v>
      </c>
      <c r="C87" s="30" t="s">
        <v>230</v>
      </c>
      <c r="D87" s="30" t="s">
        <v>217</v>
      </c>
      <c r="E87" s="10">
        <v>10</v>
      </c>
      <c r="F87" s="19">
        <v>45944</v>
      </c>
      <c r="G87" s="41" t="s">
        <v>47</v>
      </c>
      <c r="H87" s="19"/>
    </row>
    <row r="88" spans="1:8" ht="43.2">
      <c r="A88" s="28" t="s">
        <v>231</v>
      </c>
      <c r="B88" s="7" t="s">
        <v>232</v>
      </c>
      <c r="C88" s="7" t="s">
        <v>233</v>
      </c>
      <c r="D88" s="7" t="s">
        <v>234</v>
      </c>
      <c r="E88" s="7" t="s">
        <v>235</v>
      </c>
      <c r="F88" s="8"/>
      <c r="G88" s="91"/>
      <c r="H88" s="19"/>
    </row>
    <row r="89" spans="1:8" ht="28.8">
      <c r="A89" s="28" t="s">
        <v>231</v>
      </c>
      <c r="B89" s="9" t="s">
        <v>236</v>
      </c>
      <c r="C89" s="9" t="s">
        <v>237</v>
      </c>
      <c r="D89" s="9" t="s">
        <v>234</v>
      </c>
      <c r="E89" s="9" t="s">
        <v>238</v>
      </c>
      <c r="F89" s="18"/>
      <c r="G89" s="92"/>
      <c r="H89" s="19"/>
    </row>
    <row r="90" spans="1:8" ht="43.2">
      <c r="A90" s="28" t="s">
        <v>231</v>
      </c>
      <c r="B90" s="9" t="s">
        <v>239</v>
      </c>
      <c r="C90" s="9" t="s">
        <v>240</v>
      </c>
      <c r="D90" s="9" t="s">
        <v>234</v>
      </c>
      <c r="E90" s="9" t="s">
        <v>241</v>
      </c>
      <c r="F90" s="18"/>
      <c r="G90" s="92"/>
      <c r="H90" s="19"/>
    </row>
    <row r="91" spans="1:8" ht="43.2">
      <c r="A91" s="28" t="s">
        <v>231</v>
      </c>
      <c r="B91" s="9" t="s">
        <v>242</v>
      </c>
      <c r="C91" s="9" t="s">
        <v>243</v>
      </c>
      <c r="D91" s="9" t="s">
        <v>234</v>
      </c>
      <c r="E91" s="9" t="s">
        <v>244</v>
      </c>
      <c r="F91" s="18"/>
      <c r="G91" s="92"/>
      <c r="H91" s="19"/>
    </row>
    <row r="92" spans="1:8" ht="43.2">
      <c r="A92" s="28" t="s">
        <v>231</v>
      </c>
      <c r="B92" s="9" t="s">
        <v>245</v>
      </c>
      <c r="C92" s="9" t="s">
        <v>246</v>
      </c>
      <c r="D92" s="9" t="s">
        <v>234</v>
      </c>
      <c r="E92" s="9" t="s">
        <v>247</v>
      </c>
      <c r="F92" s="18"/>
      <c r="G92" s="92"/>
      <c r="H92" s="19"/>
    </row>
    <row r="93" spans="1:8" ht="28.8">
      <c r="A93" s="28" t="s">
        <v>231</v>
      </c>
      <c r="B93" s="9" t="s">
        <v>248</v>
      </c>
      <c r="C93" s="9" t="s">
        <v>249</v>
      </c>
      <c r="D93" s="9" t="s">
        <v>234</v>
      </c>
      <c r="E93" s="9" t="s">
        <v>250</v>
      </c>
      <c r="F93" s="18"/>
      <c r="G93" s="92"/>
      <c r="H93" s="19"/>
    </row>
    <row r="94" spans="1:8" ht="144">
      <c r="A94" s="28" t="s">
        <v>231</v>
      </c>
      <c r="B94" s="9" t="s">
        <v>251</v>
      </c>
      <c r="C94" s="9" t="s">
        <v>252</v>
      </c>
      <c r="D94" s="9" t="s">
        <v>234</v>
      </c>
      <c r="E94" s="9" t="s">
        <v>253</v>
      </c>
      <c r="F94" s="18">
        <v>45947</v>
      </c>
      <c r="G94" s="9" t="s">
        <v>254</v>
      </c>
      <c r="H94" s="19"/>
    </row>
    <row r="95" spans="1:8" ht="43.2">
      <c r="A95" s="28" t="s">
        <v>231</v>
      </c>
      <c r="B95" s="9" t="s">
        <v>255</v>
      </c>
      <c r="C95" s="9" t="s">
        <v>256</v>
      </c>
      <c r="D95" s="9" t="s">
        <v>234</v>
      </c>
      <c r="E95" s="9" t="s">
        <v>257</v>
      </c>
      <c r="F95" s="18">
        <v>45954</v>
      </c>
      <c r="G95" s="9" t="s">
        <v>258</v>
      </c>
      <c r="H95" s="19"/>
    </row>
    <row r="96" spans="1:8" ht="46.8">
      <c r="A96" s="28" t="s">
        <v>259</v>
      </c>
      <c r="B96" s="196" t="s">
        <v>260</v>
      </c>
      <c r="C96" s="196" t="s">
        <v>261</v>
      </c>
      <c r="D96" s="197" t="s">
        <v>262</v>
      </c>
      <c r="E96" s="197" t="s">
        <v>263</v>
      </c>
      <c r="F96" s="198"/>
      <c r="G96" s="199"/>
      <c r="H96" s="200"/>
    </row>
    <row r="97" spans="1:8" ht="78">
      <c r="A97" s="28" t="s">
        <v>259</v>
      </c>
      <c r="B97" s="201" t="s">
        <v>264</v>
      </c>
      <c r="C97" s="201" t="s">
        <v>265</v>
      </c>
      <c r="D97" s="202" t="s">
        <v>266</v>
      </c>
      <c r="E97" s="202" t="s">
        <v>267</v>
      </c>
      <c r="F97" s="203"/>
      <c r="G97" s="204"/>
      <c r="H97" s="205"/>
    </row>
    <row r="98" spans="1:8" ht="78">
      <c r="A98" s="28" t="s">
        <v>259</v>
      </c>
      <c r="B98" s="201" t="s">
        <v>268</v>
      </c>
      <c r="C98" s="201" t="s">
        <v>269</v>
      </c>
      <c r="D98" s="202" t="s">
        <v>266</v>
      </c>
      <c r="E98" s="202" t="s">
        <v>267</v>
      </c>
      <c r="F98" s="203">
        <v>45959</v>
      </c>
      <c r="G98" s="204"/>
      <c r="H98" s="205"/>
    </row>
    <row r="99" spans="1:8" ht="124.8">
      <c r="A99" s="28" t="s">
        <v>259</v>
      </c>
      <c r="B99" s="201" t="s">
        <v>270</v>
      </c>
      <c r="C99" s="201" t="s">
        <v>271</v>
      </c>
      <c r="D99" s="202" t="s">
        <v>266</v>
      </c>
      <c r="E99" s="202" t="s">
        <v>267</v>
      </c>
      <c r="F99" s="202"/>
      <c r="G99" s="206"/>
      <c r="H99" s="207"/>
    </row>
    <row r="100" spans="1:8" ht="62.4">
      <c r="A100" s="28" t="s">
        <v>259</v>
      </c>
      <c r="B100" s="201" t="s">
        <v>272</v>
      </c>
      <c r="C100" s="201" t="s">
        <v>273</v>
      </c>
      <c r="D100" s="202" t="s">
        <v>274</v>
      </c>
      <c r="E100" s="202" t="s">
        <v>275</v>
      </c>
      <c r="F100" s="201"/>
      <c r="G100" s="206"/>
      <c r="H100" s="207"/>
    </row>
    <row r="101" spans="1:8" ht="62.4">
      <c r="A101" s="28" t="s">
        <v>259</v>
      </c>
      <c r="B101" s="201" t="s">
        <v>276</v>
      </c>
      <c r="C101" s="201" t="s">
        <v>277</v>
      </c>
      <c r="D101" s="202" t="s">
        <v>274</v>
      </c>
      <c r="E101" s="202" t="s">
        <v>278</v>
      </c>
      <c r="F101" s="201"/>
      <c r="G101" s="201"/>
      <c r="H101" s="207"/>
    </row>
    <row r="102" spans="1:8" ht="62.4">
      <c r="A102" s="28" t="s">
        <v>279</v>
      </c>
      <c r="B102" s="201" t="s">
        <v>280</v>
      </c>
      <c r="C102" s="201" t="s">
        <v>273</v>
      </c>
      <c r="D102" s="202" t="s">
        <v>274</v>
      </c>
      <c r="E102" s="202" t="s">
        <v>275</v>
      </c>
      <c r="F102" s="203"/>
      <c r="G102" s="201"/>
      <c r="H102" s="207"/>
    </row>
    <row r="103" spans="1:8" ht="62.4">
      <c r="A103" s="28" t="s">
        <v>279</v>
      </c>
      <c r="B103" s="201" t="s">
        <v>281</v>
      </c>
      <c r="C103" s="201" t="s">
        <v>282</v>
      </c>
      <c r="D103" s="202" t="s">
        <v>274</v>
      </c>
      <c r="E103" s="202" t="s">
        <v>278</v>
      </c>
      <c r="F103" s="203"/>
      <c r="G103" s="201"/>
      <c r="H103" s="207"/>
    </row>
    <row r="104" spans="1:8" ht="93.6">
      <c r="A104" s="28" t="s">
        <v>259</v>
      </c>
      <c r="B104" s="201" t="s">
        <v>283</v>
      </c>
      <c r="C104" s="201" t="s">
        <v>284</v>
      </c>
      <c r="D104" s="202" t="s">
        <v>274</v>
      </c>
      <c r="E104" s="202" t="s">
        <v>285</v>
      </c>
      <c r="F104" s="203"/>
      <c r="G104" s="201"/>
      <c r="H104" s="207"/>
    </row>
    <row r="105" spans="1:8" ht="78">
      <c r="A105" s="28" t="s">
        <v>259</v>
      </c>
      <c r="B105" s="201" t="s">
        <v>286</v>
      </c>
      <c r="C105" s="201" t="s">
        <v>287</v>
      </c>
      <c r="D105" s="202" t="s">
        <v>274</v>
      </c>
      <c r="E105" s="202" t="s">
        <v>285</v>
      </c>
      <c r="F105" s="20"/>
      <c r="G105" s="42"/>
      <c r="H105" s="11"/>
    </row>
    <row r="106" spans="1:8" ht="78">
      <c r="A106" s="28" t="s">
        <v>288</v>
      </c>
      <c r="B106" s="216" t="s">
        <v>289</v>
      </c>
      <c r="C106" s="216" t="s">
        <v>290</v>
      </c>
      <c r="D106" s="217" t="s">
        <v>291</v>
      </c>
      <c r="E106" s="218" t="s">
        <v>285</v>
      </c>
      <c r="F106" s="219">
        <v>45944</v>
      </c>
      <c r="G106" s="42"/>
      <c r="H106" s="11"/>
    </row>
    <row r="107" spans="1:8" ht="78">
      <c r="A107" s="28" t="s">
        <v>288</v>
      </c>
      <c r="B107" s="220" t="s">
        <v>292</v>
      </c>
      <c r="C107" s="216" t="s">
        <v>293</v>
      </c>
      <c r="D107" s="221" t="s">
        <v>291</v>
      </c>
      <c r="E107" s="218" t="s">
        <v>285</v>
      </c>
      <c r="F107" s="219">
        <v>45931</v>
      </c>
      <c r="G107" s="42"/>
      <c r="H107" s="11"/>
    </row>
    <row r="108" spans="1:8" ht="78">
      <c r="A108" s="28" t="s">
        <v>288</v>
      </c>
      <c r="B108" s="216" t="s">
        <v>294</v>
      </c>
      <c r="C108" s="216" t="s">
        <v>295</v>
      </c>
      <c r="D108" s="221" t="s">
        <v>291</v>
      </c>
      <c r="E108" s="218" t="s">
        <v>285</v>
      </c>
      <c r="F108" s="219"/>
      <c r="G108" s="42"/>
      <c r="H108" s="11"/>
    </row>
    <row r="109" spans="1:8" ht="78">
      <c r="A109" s="28" t="s">
        <v>288</v>
      </c>
      <c r="B109" s="216" t="s">
        <v>283</v>
      </c>
      <c r="C109" s="216" t="s">
        <v>296</v>
      </c>
      <c r="D109" s="221" t="s">
        <v>291</v>
      </c>
      <c r="E109" s="218" t="s">
        <v>285</v>
      </c>
      <c r="F109" s="219">
        <v>45951</v>
      </c>
      <c r="G109" s="42"/>
      <c r="H109" s="11"/>
    </row>
    <row r="110" spans="1:8" ht="78">
      <c r="A110" s="28" t="s">
        <v>288</v>
      </c>
      <c r="B110" s="216" t="s">
        <v>276</v>
      </c>
      <c r="C110" s="216" t="s">
        <v>297</v>
      </c>
      <c r="D110" s="221" t="s">
        <v>291</v>
      </c>
      <c r="E110" s="218" t="s">
        <v>285</v>
      </c>
      <c r="F110" s="20"/>
      <c r="G110" s="42"/>
      <c r="H110" s="11"/>
    </row>
    <row r="111" spans="1:8" ht="78">
      <c r="A111" s="28" t="s">
        <v>288</v>
      </c>
      <c r="B111" s="216" t="s">
        <v>268</v>
      </c>
      <c r="C111" s="216" t="s">
        <v>269</v>
      </c>
      <c r="D111" s="221" t="s">
        <v>291</v>
      </c>
      <c r="E111" s="218" t="s">
        <v>285</v>
      </c>
      <c r="F111" s="219">
        <v>45959</v>
      </c>
      <c r="G111" s="42"/>
      <c r="H111" s="11"/>
    </row>
    <row r="112" spans="1:8" ht="109.2">
      <c r="A112" s="28" t="s">
        <v>288</v>
      </c>
      <c r="B112" s="216" t="s">
        <v>298</v>
      </c>
      <c r="C112" s="216" t="s">
        <v>299</v>
      </c>
      <c r="D112" s="221" t="s">
        <v>291</v>
      </c>
      <c r="E112" s="218" t="s">
        <v>285</v>
      </c>
      <c r="F112" s="20"/>
      <c r="G112" s="42"/>
      <c r="H112" s="11"/>
    </row>
    <row r="113" spans="1:8" ht="28.8">
      <c r="A113" s="28" t="s">
        <v>300</v>
      </c>
      <c r="B113" s="32" t="s">
        <v>301</v>
      </c>
      <c r="C113" s="32" t="s">
        <v>302</v>
      </c>
      <c r="D113" s="32" t="s">
        <v>303</v>
      </c>
      <c r="E113" s="7"/>
      <c r="F113" s="8">
        <v>45933</v>
      </c>
      <c r="G113" s="39" t="s">
        <v>47</v>
      </c>
      <c r="H113" s="7"/>
    </row>
    <row r="114" spans="1:8" ht="28.8">
      <c r="A114" s="28" t="s">
        <v>300</v>
      </c>
      <c r="B114" s="29" t="s">
        <v>301</v>
      </c>
      <c r="C114" s="29"/>
      <c r="D114" s="29"/>
      <c r="E114" s="9"/>
      <c r="F114" s="18">
        <v>45932</v>
      </c>
      <c r="G114" s="40"/>
      <c r="H114" s="9"/>
    </row>
    <row r="115" spans="1:8" ht="115.2">
      <c r="A115" s="28" t="s">
        <v>300</v>
      </c>
      <c r="B115" s="29" t="s">
        <v>304</v>
      </c>
      <c r="C115" s="29" t="s">
        <v>305</v>
      </c>
      <c r="D115" s="29" t="s">
        <v>303</v>
      </c>
      <c r="E115" s="9" t="s">
        <v>306</v>
      </c>
      <c r="F115" s="18">
        <v>45933</v>
      </c>
      <c r="G115" s="40" t="s">
        <v>47</v>
      </c>
      <c r="H115" s="9" t="s">
        <v>307</v>
      </c>
    </row>
    <row r="116" spans="1:8" ht="100.8">
      <c r="A116" s="28" t="s">
        <v>300</v>
      </c>
      <c r="B116" s="29" t="s">
        <v>308</v>
      </c>
      <c r="C116" s="29" t="s">
        <v>309</v>
      </c>
      <c r="D116" s="29"/>
      <c r="E116" s="9" t="s">
        <v>310</v>
      </c>
      <c r="F116" s="18">
        <v>45934</v>
      </c>
      <c r="G116" s="40" t="s">
        <v>47</v>
      </c>
      <c r="H116" s="9" t="s">
        <v>311</v>
      </c>
    </row>
    <row r="117" spans="1:8" ht="43.2">
      <c r="A117" s="28" t="s">
        <v>300</v>
      </c>
      <c r="B117" s="29" t="s">
        <v>312</v>
      </c>
      <c r="C117" s="29" t="s">
        <v>302</v>
      </c>
      <c r="D117" s="29" t="s">
        <v>303</v>
      </c>
      <c r="E117" s="9" t="s">
        <v>313</v>
      </c>
      <c r="F117" s="18">
        <v>45935</v>
      </c>
      <c r="G117" s="40"/>
      <c r="H117" s="9"/>
    </row>
    <row r="118" spans="1:8" ht="115.2">
      <c r="A118" s="28" t="s">
        <v>314</v>
      </c>
      <c r="B118" s="183" t="s">
        <v>315</v>
      </c>
      <c r="C118" s="184" t="s">
        <v>316</v>
      </c>
      <c r="D118" s="183" t="s">
        <v>317</v>
      </c>
      <c r="E118" s="168"/>
      <c r="F118" s="185"/>
      <c r="G118" s="170"/>
      <c r="H118" s="168"/>
    </row>
    <row r="119" spans="1:8" ht="57.6">
      <c r="A119" s="28" t="s">
        <v>314</v>
      </c>
      <c r="B119" s="183" t="s">
        <v>318</v>
      </c>
      <c r="C119" s="186" t="s">
        <v>319</v>
      </c>
      <c r="D119" s="183" t="s">
        <v>317</v>
      </c>
      <c r="E119" s="168"/>
      <c r="F119" s="185"/>
      <c r="G119" s="170"/>
      <c r="H119" s="168"/>
    </row>
    <row r="120" spans="1:8" ht="43.2">
      <c r="A120" s="28" t="s">
        <v>314</v>
      </c>
      <c r="B120" s="187" t="s">
        <v>320</v>
      </c>
      <c r="C120" s="187" t="s">
        <v>321</v>
      </c>
      <c r="D120" s="187" t="s">
        <v>317</v>
      </c>
      <c r="E120" s="168"/>
      <c r="F120" s="185"/>
      <c r="G120" s="170"/>
      <c r="H120" s="168"/>
    </row>
    <row r="121" spans="1:8" ht="57.6">
      <c r="A121" s="28" t="s">
        <v>314</v>
      </c>
      <c r="B121" s="187" t="s">
        <v>322</v>
      </c>
      <c r="C121" s="187" t="s">
        <v>323</v>
      </c>
      <c r="D121" s="187" t="s">
        <v>317</v>
      </c>
      <c r="E121" s="168"/>
      <c r="F121" s="185"/>
      <c r="G121" s="170"/>
      <c r="H121" s="168"/>
    </row>
    <row r="122" spans="1:8" ht="28.8">
      <c r="A122" s="28" t="s">
        <v>314</v>
      </c>
      <c r="B122" s="187" t="s">
        <v>324</v>
      </c>
      <c r="C122" s="187" t="s">
        <v>325</v>
      </c>
      <c r="D122" s="187" t="s">
        <v>317</v>
      </c>
      <c r="E122" s="168"/>
      <c r="F122" s="185"/>
      <c r="G122" s="170"/>
      <c r="H122" s="168"/>
    </row>
    <row r="123" spans="1:8" ht="43.2">
      <c r="A123" s="28" t="s">
        <v>314</v>
      </c>
      <c r="B123" s="187" t="s">
        <v>326</v>
      </c>
      <c r="C123" s="187" t="s">
        <v>327</v>
      </c>
      <c r="D123" s="187" t="s">
        <v>317</v>
      </c>
      <c r="E123" s="168"/>
      <c r="F123" s="185"/>
      <c r="G123" s="170"/>
      <c r="H123" s="168"/>
    </row>
    <row r="124" spans="1:8" ht="43.2">
      <c r="A124" s="28" t="s">
        <v>314</v>
      </c>
      <c r="B124" s="187" t="s">
        <v>328</v>
      </c>
      <c r="C124" s="187" t="s">
        <v>329</v>
      </c>
      <c r="D124" s="187" t="s">
        <v>317</v>
      </c>
      <c r="E124" s="165"/>
      <c r="F124" s="188"/>
      <c r="G124" s="166"/>
      <c r="H124" s="165"/>
    </row>
    <row r="125" spans="1:8" ht="72">
      <c r="A125" s="28" t="s">
        <v>314</v>
      </c>
      <c r="B125" s="187" t="s">
        <v>330</v>
      </c>
      <c r="C125" s="187" t="s">
        <v>331</v>
      </c>
      <c r="D125" s="187" t="s">
        <v>317</v>
      </c>
      <c r="E125" s="189"/>
      <c r="F125" s="190"/>
      <c r="G125" s="191"/>
      <c r="H125" s="189"/>
    </row>
    <row r="126" spans="1:8" ht="28.8">
      <c r="A126" s="144" t="s">
        <v>314</v>
      </c>
      <c r="B126" s="187" t="s">
        <v>332</v>
      </c>
      <c r="C126" s="187" t="s">
        <v>333</v>
      </c>
      <c r="D126" s="187" t="s">
        <v>317</v>
      </c>
      <c r="E126" s="189"/>
      <c r="F126" s="190"/>
      <c r="G126" s="191"/>
      <c r="H126" s="189"/>
    </row>
    <row r="127" spans="1:8" ht="57.6">
      <c r="A127" s="31" t="s">
        <v>314</v>
      </c>
      <c r="B127" s="164" t="s">
        <v>334</v>
      </c>
      <c r="C127" s="164" t="s">
        <v>335</v>
      </c>
      <c r="D127" s="164" t="s">
        <v>317</v>
      </c>
      <c r="E127" s="189"/>
      <c r="F127" s="190"/>
      <c r="G127" s="191"/>
      <c r="H127" s="189"/>
    </row>
    <row r="128" spans="1:8" ht="86.4">
      <c r="A128" s="31" t="s">
        <v>314</v>
      </c>
      <c r="B128" s="192" t="s">
        <v>336</v>
      </c>
      <c r="C128" s="192" t="s">
        <v>337</v>
      </c>
      <c r="D128" s="193" t="s">
        <v>317</v>
      </c>
      <c r="E128" s="195" t="s">
        <v>338</v>
      </c>
      <c r="F128" s="190">
        <v>45941</v>
      </c>
      <c r="G128" s="191"/>
      <c r="H128" s="189"/>
    </row>
    <row r="129" spans="1:8" ht="43.2">
      <c r="A129" s="31" t="s">
        <v>314</v>
      </c>
      <c r="B129" s="192" t="s">
        <v>339</v>
      </c>
      <c r="C129" s="192" t="s">
        <v>340</v>
      </c>
      <c r="D129" s="193" t="s">
        <v>317</v>
      </c>
      <c r="E129" s="189"/>
      <c r="F129" s="190"/>
      <c r="G129" s="191"/>
      <c r="H129" s="189"/>
    </row>
    <row r="130" spans="1:8" ht="57.6">
      <c r="A130" s="31" t="s">
        <v>314</v>
      </c>
      <c r="B130" s="192" t="s">
        <v>341</v>
      </c>
      <c r="C130" s="192" t="s">
        <v>342</v>
      </c>
      <c r="D130" s="193" t="s">
        <v>317</v>
      </c>
      <c r="E130" s="189"/>
      <c r="F130" s="190"/>
      <c r="G130" s="191"/>
      <c r="H130" s="189"/>
    </row>
    <row r="131" spans="1:8" ht="100.8">
      <c r="A131" s="31" t="s">
        <v>314</v>
      </c>
      <c r="B131" s="192" t="s">
        <v>343</v>
      </c>
      <c r="C131" s="192" t="s">
        <v>344</v>
      </c>
      <c r="D131" s="192" t="s">
        <v>317</v>
      </c>
      <c r="E131" s="189"/>
      <c r="F131" s="190"/>
      <c r="G131" s="191"/>
      <c r="H131" s="189"/>
    </row>
    <row r="132" spans="1:8" ht="115.2">
      <c r="A132" s="31" t="s">
        <v>345</v>
      </c>
      <c r="B132" s="192" t="s">
        <v>346</v>
      </c>
      <c r="C132" s="194" t="s">
        <v>347</v>
      </c>
      <c r="D132" s="192" t="s">
        <v>317</v>
      </c>
      <c r="E132" s="189"/>
      <c r="F132" s="190"/>
      <c r="G132" s="191"/>
      <c r="H132" s="189"/>
    </row>
    <row r="133" spans="1:8" ht="100.8">
      <c r="A133" s="90" t="s">
        <v>314</v>
      </c>
      <c r="B133" s="194" t="s">
        <v>348</v>
      </c>
      <c r="C133" s="194" t="s">
        <v>349</v>
      </c>
      <c r="D133" s="194" t="s">
        <v>317</v>
      </c>
      <c r="E133" s="247" t="s">
        <v>350</v>
      </c>
      <c r="F133" s="248">
        <v>45939</v>
      </c>
      <c r="G133" s="249" t="s">
        <v>47</v>
      </c>
      <c r="H133" s="247" t="s">
        <v>351</v>
      </c>
    </row>
    <row r="134" spans="1:8" ht="100.8">
      <c r="A134" s="122" t="s">
        <v>352</v>
      </c>
      <c r="B134" s="159" t="s">
        <v>353</v>
      </c>
      <c r="C134" s="123" t="s">
        <v>354</v>
      </c>
      <c r="D134" s="123" t="s">
        <v>355</v>
      </c>
      <c r="E134" s="124" t="s">
        <v>356</v>
      </c>
      <c r="F134" s="125">
        <v>46011</v>
      </c>
      <c r="G134" s="246"/>
      <c r="H134" s="168"/>
    </row>
    <row r="135" spans="1:8" ht="115.2">
      <c r="A135" s="122" t="s">
        <v>352</v>
      </c>
      <c r="B135" s="160" t="s">
        <v>357</v>
      </c>
      <c r="C135" s="161" t="s">
        <v>358</v>
      </c>
      <c r="D135" s="123" t="s">
        <v>355</v>
      </c>
      <c r="E135" s="162" t="s">
        <v>359</v>
      </c>
      <c r="F135" s="125">
        <v>46012</v>
      </c>
      <c r="G135" s="246"/>
      <c r="H135" s="168"/>
    </row>
    <row r="136" spans="1:8" ht="100.8">
      <c r="A136" s="122" t="s">
        <v>352</v>
      </c>
      <c r="B136" s="160" t="s">
        <v>360</v>
      </c>
      <c r="C136" s="161" t="s">
        <v>361</v>
      </c>
      <c r="D136" s="123" t="s">
        <v>355</v>
      </c>
      <c r="E136" s="162" t="s">
        <v>362</v>
      </c>
      <c r="F136" s="125">
        <v>46013</v>
      </c>
      <c r="G136" s="246"/>
      <c r="H136" s="168"/>
    </row>
    <row r="137" spans="1:8" ht="86.4">
      <c r="A137" s="122" t="s">
        <v>352</v>
      </c>
      <c r="B137" s="160" t="s">
        <v>363</v>
      </c>
      <c r="C137" s="161" t="s">
        <v>364</v>
      </c>
      <c r="D137" s="123" t="s">
        <v>355</v>
      </c>
      <c r="E137" s="162" t="s">
        <v>359</v>
      </c>
      <c r="F137" s="125">
        <v>46014</v>
      </c>
      <c r="G137" s="246"/>
      <c r="H137" s="168"/>
    </row>
    <row r="138" spans="1:8" ht="86.4">
      <c r="A138" s="122" t="s">
        <v>352</v>
      </c>
      <c r="B138" s="160" t="s">
        <v>365</v>
      </c>
      <c r="C138" s="161" t="s">
        <v>366</v>
      </c>
      <c r="D138" s="123" t="s">
        <v>355</v>
      </c>
      <c r="E138" s="162" t="s">
        <v>362</v>
      </c>
      <c r="F138" s="125">
        <v>46015</v>
      </c>
      <c r="G138" s="246"/>
      <c r="H138" s="168"/>
    </row>
    <row r="139" spans="1:8" ht="86.4">
      <c r="A139" s="122" t="s">
        <v>352</v>
      </c>
      <c r="B139" s="160" t="s">
        <v>367</v>
      </c>
      <c r="C139" s="161" t="s">
        <v>368</v>
      </c>
      <c r="D139" s="123" t="s">
        <v>355</v>
      </c>
      <c r="E139" s="162" t="s">
        <v>359</v>
      </c>
      <c r="F139" s="125">
        <v>46016</v>
      </c>
      <c r="G139" s="246"/>
      <c r="H139" s="168"/>
    </row>
    <row r="140" spans="1:8" ht="86.4">
      <c r="A140" s="122" t="s">
        <v>352</v>
      </c>
      <c r="B140" s="160" t="s">
        <v>369</v>
      </c>
      <c r="C140" s="161" t="s">
        <v>370</v>
      </c>
      <c r="D140" s="123" t="s">
        <v>355</v>
      </c>
      <c r="E140" s="124" t="s">
        <v>356</v>
      </c>
      <c r="F140" s="125">
        <v>46017</v>
      </c>
      <c r="G140" s="246"/>
      <c r="H140" s="168"/>
    </row>
    <row r="141" spans="1:8" ht="86.4">
      <c r="A141" s="122" t="s">
        <v>352</v>
      </c>
      <c r="B141" s="160" t="s">
        <v>371</v>
      </c>
      <c r="C141" s="161" t="s">
        <v>372</v>
      </c>
      <c r="D141" s="123" t="s">
        <v>355</v>
      </c>
      <c r="E141" s="124" t="s">
        <v>356</v>
      </c>
      <c r="F141" s="125">
        <v>46018</v>
      </c>
      <c r="G141" s="246"/>
      <c r="H141" s="168"/>
    </row>
    <row r="142" spans="1:8" ht="86.4">
      <c r="A142" s="122" t="s">
        <v>352</v>
      </c>
      <c r="B142" s="160" t="s">
        <v>373</v>
      </c>
      <c r="C142" s="161" t="s">
        <v>374</v>
      </c>
      <c r="D142" s="123" t="s">
        <v>355</v>
      </c>
      <c r="E142" s="124" t="s">
        <v>375</v>
      </c>
      <c r="F142" s="125">
        <v>46019</v>
      </c>
      <c r="G142" s="246"/>
      <c r="H142" s="168"/>
    </row>
    <row r="143" spans="1:8" ht="72">
      <c r="A143" s="122" t="s">
        <v>352</v>
      </c>
      <c r="B143" s="160" t="s">
        <v>376</v>
      </c>
      <c r="C143" s="161" t="s">
        <v>377</v>
      </c>
      <c r="D143" s="123" t="s">
        <v>355</v>
      </c>
      <c r="E143" s="124" t="s">
        <v>375</v>
      </c>
      <c r="F143" s="125">
        <v>46020</v>
      </c>
      <c r="G143" s="246"/>
      <c r="H143" s="168"/>
    </row>
    <row r="144" spans="1:8" ht="86.4">
      <c r="A144" s="28" t="s">
        <v>352</v>
      </c>
      <c r="B144" s="163" t="s">
        <v>378</v>
      </c>
      <c r="C144" s="164" t="s">
        <v>379</v>
      </c>
      <c r="D144" s="123" t="s">
        <v>355</v>
      </c>
      <c r="E144" s="165" t="s">
        <v>359</v>
      </c>
      <c r="F144" s="125">
        <v>46021</v>
      </c>
      <c r="G144" s="246"/>
      <c r="H144" s="168"/>
    </row>
    <row r="145" spans="1:8" ht="115.2">
      <c r="A145" s="28" t="s">
        <v>352</v>
      </c>
      <c r="B145" s="165" t="s">
        <v>380</v>
      </c>
      <c r="C145" s="165" t="s">
        <v>381</v>
      </c>
      <c r="D145" s="167" t="s">
        <v>382</v>
      </c>
      <c r="E145" s="168" t="s">
        <v>383</v>
      </c>
      <c r="F145" s="169">
        <v>45931</v>
      </c>
      <c r="G145" s="251"/>
      <c r="H145" s="250"/>
    </row>
    <row r="146" spans="1:8" ht="129.6">
      <c r="A146" s="67" t="s">
        <v>352</v>
      </c>
      <c r="B146" s="172" t="s">
        <v>384</v>
      </c>
      <c r="C146" s="168" t="s">
        <v>385</v>
      </c>
      <c r="D146" s="167" t="s">
        <v>382</v>
      </c>
      <c r="E146" s="168" t="s">
        <v>383</v>
      </c>
      <c r="F146" s="169">
        <v>45964</v>
      </c>
      <c r="G146" s="24"/>
      <c r="H146" s="19"/>
    </row>
    <row r="147" spans="1:8" ht="115.2">
      <c r="A147" s="67" t="s">
        <v>352</v>
      </c>
      <c r="B147" s="175" t="s">
        <v>386</v>
      </c>
      <c r="C147" s="165" t="s">
        <v>387</v>
      </c>
      <c r="D147" s="167" t="s">
        <v>382</v>
      </c>
      <c r="E147" s="168" t="s">
        <v>359</v>
      </c>
      <c r="F147" s="169">
        <v>46021</v>
      </c>
      <c r="G147" s="24"/>
      <c r="H147" s="19"/>
    </row>
    <row r="148" spans="1:8" ht="115.2">
      <c r="A148" s="76" t="s">
        <v>352</v>
      </c>
      <c r="B148" s="9" t="s">
        <v>388</v>
      </c>
      <c r="C148" s="9" t="s">
        <v>389</v>
      </c>
      <c r="D148" s="167" t="s">
        <v>382</v>
      </c>
      <c r="E148" s="168"/>
      <c r="F148" s="169">
        <v>46021</v>
      </c>
      <c r="G148" s="24"/>
      <c r="H148" s="19"/>
    </row>
    <row r="149" spans="1:8" ht="86.4">
      <c r="A149" s="76" t="s">
        <v>352</v>
      </c>
      <c r="B149" s="28" t="s">
        <v>390</v>
      </c>
      <c r="C149" s="32" t="s">
        <v>391</v>
      </c>
      <c r="D149" s="32" t="s">
        <v>392</v>
      </c>
      <c r="E149" s="7"/>
      <c r="F149" s="8"/>
      <c r="G149" s="39"/>
      <c r="H149" s="7"/>
    </row>
    <row r="150" spans="1:8" ht="100.8">
      <c r="A150" s="28" t="s">
        <v>393</v>
      </c>
      <c r="B150" s="28" t="s">
        <v>394</v>
      </c>
      <c r="C150" s="29" t="s">
        <v>395</v>
      </c>
      <c r="D150" s="29" t="s">
        <v>392</v>
      </c>
      <c r="E150" s="9"/>
      <c r="F150" s="18"/>
      <c r="G150" s="40"/>
      <c r="H150" s="9"/>
    </row>
    <row r="151" spans="1:8" ht="57.6">
      <c r="A151" s="28" t="s">
        <v>393</v>
      </c>
      <c r="B151" s="29" t="s">
        <v>396</v>
      </c>
      <c r="C151" s="29" t="s">
        <v>397</v>
      </c>
      <c r="D151" s="29"/>
      <c r="E151" s="9"/>
      <c r="F151" s="18"/>
      <c r="G151" s="40"/>
      <c r="H151" s="9"/>
    </row>
    <row r="152" spans="1:8" ht="72">
      <c r="A152" s="28" t="s">
        <v>393</v>
      </c>
      <c r="B152" s="29" t="s">
        <v>390</v>
      </c>
      <c r="C152" s="29" t="s">
        <v>398</v>
      </c>
      <c r="D152" s="29"/>
      <c r="E152" s="9"/>
      <c r="F152" s="18"/>
      <c r="G152" s="40"/>
      <c r="H152" s="9"/>
    </row>
    <row r="153" spans="1:8" ht="72">
      <c r="A153" s="28" t="s">
        <v>393</v>
      </c>
      <c r="B153" s="86" t="s">
        <v>399</v>
      </c>
      <c r="C153" s="29" t="s">
        <v>400</v>
      </c>
      <c r="D153" s="29" t="s">
        <v>392</v>
      </c>
      <c r="E153" s="9"/>
      <c r="F153" s="18"/>
      <c r="G153" s="40"/>
      <c r="H153" s="9"/>
    </row>
    <row r="154" spans="1:8" ht="86.4">
      <c r="A154" s="28" t="s">
        <v>393</v>
      </c>
      <c r="B154" s="29" t="s">
        <v>401</v>
      </c>
      <c r="C154" s="29" t="s">
        <v>402</v>
      </c>
      <c r="D154" s="29"/>
      <c r="E154" s="9"/>
      <c r="F154" s="18"/>
      <c r="G154" s="40"/>
      <c r="H154" s="9"/>
    </row>
    <row r="155" spans="1:8" ht="115.2">
      <c r="A155" s="28" t="s">
        <v>393</v>
      </c>
      <c r="B155" s="29" t="s">
        <v>403</v>
      </c>
      <c r="C155" s="29" t="s">
        <v>404</v>
      </c>
      <c r="D155" s="29"/>
      <c r="E155" s="9"/>
      <c r="F155" s="18"/>
      <c r="G155" s="40"/>
      <c r="H155" s="9"/>
    </row>
    <row r="156" spans="1:8" ht="57.6">
      <c r="A156" s="28" t="s">
        <v>393</v>
      </c>
      <c r="B156" s="87" t="s">
        <v>405</v>
      </c>
      <c r="C156" s="29" t="s">
        <v>406</v>
      </c>
      <c r="D156" s="29" t="s">
        <v>407</v>
      </c>
      <c r="E156" s="9"/>
      <c r="F156" s="18"/>
      <c r="G156" s="40"/>
      <c r="H156" s="9"/>
    </row>
    <row r="157" spans="1:8" ht="86.4">
      <c r="A157" s="28" t="s">
        <v>393</v>
      </c>
      <c r="B157" s="29" t="s">
        <v>408</v>
      </c>
      <c r="C157" s="29" t="s">
        <v>409</v>
      </c>
      <c r="D157" s="29" t="s">
        <v>407</v>
      </c>
      <c r="E157" s="9"/>
      <c r="F157" s="18"/>
      <c r="G157" s="40"/>
      <c r="H157" s="9"/>
    </row>
    <row r="158" spans="1:8" ht="43.2">
      <c r="A158" s="28" t="s">
        <v>393</v>
      </c>
      <c r="B158" s="29" t="s">
        <v>410</v>
      </c>
      <c r="C158" s="29" t="s">
        <v>411</v>
      </c>
      <c r="D158" s="29" t="s">
        <v>412</v>
      </c>
      <c r="E158" s="9"/>
      <c r="F158" s="18"/>
      <c r="G158" s="40"/>
      <c r="H158" s="9"/>
    </row>
    <row r="159" spans="1:8" ht="86.4">
      <c r="A159" s="28" t="s">
        <v>393</v>
      </c>
      <c r="B159" s="30"/>
      <c r="C159" s="30" t="s">
        <v>413</v>
      </c>
      <c r="D159" s="30" t="s">
        <v>412</v>
      </c>
      <c r="E159" s="10"/>
      <c r="F159" s="19"/>
      <c r="G159" s="41"/>
      <c r="H159" s="10"/>
    </row>
    <row r="160" spans="1:8" ht="57.6">
      <c r="A160" s="28" t="s">
        <v>393</v>
      </c>
      <c r="B160" s="88" t="s">
        <v>414</v>
      </c>
      <c r="C160" s="88" t="s">
        <v>415</v>
      </c>
      <c r="D160" s="31" t="s">
        <v>407</v>
      </c>
      <c r="E160" s="11"/>
      <c r="F160" s="20"/>
      <c r="G160" s="42"/>
      <c r="H160" s="11"/>
    </row>
    <row r="161" spans="1:8" ht="28.8">
      <c r="A161" s="28" t="s">
        <v>393</v>
      </c>
      <c r="B161" s="31" t="s">
        <v>416</v>
      </c>
      <c r="C161" s="88" t="s">
        <v>417</v>
      </c>
      <c r="D161" s="31" t="s">
        <v>407</v>
      </c>
      <c r="E161" s="11"/>
      <c r="F161" s="20"/>
      <c r="G161" s="42"/>
      <c r="H161" s="11"/>
    </row>
    <row r="162" spans="1:8" ht="57.6">
      <c r="A162" s="28" t="s">
        <v>393</v>
      </c>
      <c r="B162" s="90" t="s">
        <v>418</v>
      </c>
      <c r="C162" s="89" t="s">
        <v>419</v>
      </c>
      <c r="D162" s="31" t="s">
        <v>407</v>
      </c>
      <c r="E162" s="11"/>
      <c r="F162" s="20"/>
      <c r="G162" s="42"/>
      <c r="H162" s="11"/>
    </row>
    <row r="163" spans="1:8" ht="57.6">
      <c r="A163" s="67" t="s">
        <v>393</v>
      </c>
      <c r="B163" s="29" t="s">
        <v>420</v>
      </c>
      <c r="C163" s="88" t="s">
        <v>421</v>
      </c>
      <c r="D163" s="48" t="s">
        <v>392</v>
      </c>
      <c r="E163" s="11"/>
      <c r="F163" s="20"/>
      <c r="G163" s="42"/>
      <c r="H163" s="11"/>
    </row>
    <row r="164" spans="1:8" ht="28.8">
      <c r="A164" s="67" t="s">
        <v>393</v>
      </c>
      <c r="B164" s="29" t="s">
        <v>422</v>
      </c>
      <c r="C164" s="88" t="s">
        <v>423</v>
      </c>
      <c r="D164" s="102" t="s">
        <v>392</v>
      </c>
      <c r="E164" s="11"/>
      <c r="F164" s="20">
        <v>45974</v>
      </c>
      <c r="G164" s="42"/>
      <c r="H164" s="11"/>
    </row>
    <row r="165" spans="1:8" ht="57.6">
      <c r="A165" s="67" t="s">
        <v>393</v>
      </c>
      <c r="B165" s="30" t="s">
        <v>424</v>
      </c>
      <c r="C165" s="101" t="s">
        <v>425</v>
      </c>
      <c r="D165" s="74" t="s">
        <v>392</v>
      </c>
      <c r="E165" s="71" t="s">
        <v>426</v>
      </c>
      <c r="F165" s="20">
        <v>45937</v>
      </c>
      <c r="G165" s="42" t="s">
        <v>47</v>
      </c>
      <c r="H165" s="29"/>
    </row>
    <row r="166" spans="1:8" ht="72">
      <c r="A166" s="76" t="s">
        <v>393</v>
      </c>
      <c r="B166" s="74" t="s">
        <v>427</v>
      </c>
      <c r="C166" s="29" t="s">
        <v>428</v>
      </c>
      <c r="D166" s="252" t="s">
        <v>392</v>
      </c>
      <c r="E166" s="99"/>
      <c r="F166" s="20"/>
      <c r="G166" s="42"/>
      <c r="H166" s="29" t="s">
        <v>429</v>
      </c>
    </row>
    <row r="167" spans="1:8" ht="43.2">
      <c r="A167" s="76" t="s">
        <v>430</v>
      </c>
      <c r="B167" s="253" t="s">
        <v>431</v>
      </c>
      <c r="C167" s="239" t="s">
        <v>432</v>
      </c>
      <c r="D167" s="239" t="s">
        <v>433</v>
      </c>
      <c r="E167" s="240" t="s">
        <v>434</v>
      </c>
      <c r="F167" s="241">
        <v>45980</v>
      </c>
      <c r="G167" s="254"/>
      <c r="H167" s="240" t="s">
        <v>435</v>
      </c>
    </row>
    <row r="168" spans="1:8" ht="57.6">
      <c r="A168" s="76" t="s">
        <v>430</v>
      </c>
      <c r="B168" s="253" t="s">
        <v>436</v>
      </c>
      <c r="C168" s="29" t="s">
        <v>437</v>
      </c>
      <c r="D168" s="29" t="s">
        <v>433</v>
      </c>
      <c r="E168" s="9" t="s">
        <v>438</v>
      </c>
      <c r="F168" s="18">
        <v>45933</v>
      </c>
      <c r="G168" s="40" t="s">
        <v>47</v>
      </c>
      <c r="H168" s="9"/>
    </row>
    <row r="169" spans="1:8" ht="57.6">
      <c r="A169" s="76" t="s">
        <v>430</v>
      </c>
      <c r="B169" s="253" t="s">
        <v>439</v>
      </c>
      <c r="C169" s="29" t="s">
        <v>440</v>
      </c>
      <c r="D169" s="29" t="s">
        <v>433</v>
      </c>
      <c r="E169" s="9" t="s">
        <v>441</v>
      </c>
      <c r="F169" s="18">
        <v>45938</v>
      </c>
      <c r="G169" s="40" t="s">
        <v>148</v>
      </c>
      <c r="H169" s="9"/>
    </row>
    <row r="170" spans="1:8" ht="43.2">
      <c r="A170" s="76" t="s">
        <v>430</v>
      </c>
      <c r="B170" s="253" t="s">
        <v>442</v>
      </c>
      <c r="C170" s="29" t="s">
        <v>443</v>
      </c>
      <c r="D170" s="29" t="s">
        <v>433</v>
      </c>
      <c r="E170" s="9" t="s">
        <v>444</v>
      </c>
      <c r="F170" s="18"/>
      <c r="G170" s="40"/>
      <c r="H170" s="9"/>
    </row>
    <row r="171" spans="1:8" ht="57.6">
      <c r="A171" s="76" t="s">
        <v>430</v>
      </c>
      <c r="B171" s="253" t="s">
        <v>445</v>
      </c>
      <c r="C171" s="29" t="s">
        <v>446</v>
      </c>
      <c r="D171" s="29" t="s">
        <v>433</v>
      </c>
      <c r="E171" s="9" t="s">
        <v>438</v>
      </c>
      <c r="F171" s="18"/>
      <c r="G171" s="40"/>
      <c r="H171" s="9" t="s">
        <v>447</v>
      </c>
    </row>
    <row r="172" spans="1:8" ht="86.4">
      <c r="A172" s="76" t="s">
        <v>430</v>
      </c>
      <c r="B172" s="253" t="s">
        <v>448</v>
      </c>
      <c r="C172" s="29" t="s">
        <v>449</v>
      </c>
      <c r="D172" s="29" t="s">
        <v>433</v>
      </c>
      <c r="E172" s="9" t="s">
        <v>450</v>
      </c>
      <c r="F172" s="18">
        <v>45974</v>
      </c>
      <c r="G172" s="40"/>
      <c r="H172" s="9" t="s">
        <v>451</v>
      </c>
    </row>
    <row r="173" spans="1:8" ht="57.6">
      <c r="A173" s="76" t="s">
        <v>430</v>
      </c>
      <c r="B173" s="253" t="s">
        <v>452</v>
      </c>
      <c r="C173" s="29"/>
      <c r="D173" s="29"/>
      <c r="E173" s="9"/>
      <c r="F173" s="18"/>
      <c r="G173" s="40"/>
      <c r="H173" s="9" t="s">
        <v>447</v>
      </c>
    </row>
    <row r="174" spans="1:8" ht="43.2">
      <c r="A174" s="76" t="s">
        <v>430</v>
      </c>
      <c r="B174" s="253" t="s">
        <v>453</v>
      </c>
      <c r="C174" s="29" t="s">
        <v>454</v>
      </c>
      <c r="D174" s="29" t="s">
        <v>433</v>
      </c>
      <c r="E174" s="9" t="s">
        <v>455</v>
      </c>
      <c r="F174" s="18"/>
      <c r="G174" s="40"/>
      <c r="H174" s="9"/>
    </row>
    <row r="175" spans="1:8" ht="43.2">
      <c r="A175" s="76" t="s">
        <v>430</v>
      </c>
      <c r="B175" s="253" t="s">
        <v>456</v>
      </c>
      <c r="C175" s="29" t="s">
        <v>457</v>
      </c>
      <c r="D175" s="29" t="s">
        <v>433</v>
      </c>
      <c r="E175" s="9" t="s">
        <v>444</v>
      </c>
      <c r="F175" s="18"/>
      <c r="G175" s="40"/>
      <c r="H175" s="9"/>
    </row>
    <row r="176" spans="1:8" ht="57.6">
      <c r="A176" s="76" t="s">
        <v>430</v>
      </c>
      <c r="B176" s="253" t="s">
        <v>458</v>
      </c>
      <c r="C176" s="29" t="s">
        <v>459</v>
      </c>
      <c r="D176" s="29" t="s">
        <v>433</v>
      </c>
      <c r="E176" s="9"/>
      <c r="F176" s="18"/>
      <c r="G176" s="40"/>
      <c r="H176" s="9"/>
    </row>
    <row r="177" spans="1:8" ht="43.2">
      <c r="A177" s="76" t="s">
        <v>430</v>
      </c>
      <c r="B177" s="253" t="s">
        <v>460</v>
      </c>
      <c r="C177" s="29"/>
      <c r="D177" s="29"/>
      <c r="E177" s="9"/>
      <c r="F177" s="18"/>
      <c r="G177" s="40"/>
      <c r="H177" s="9"/>
    </row>
    <row r="178" spans="1:8" ht="57.6">
      <c r="A178" s="76" t="s">
        <v>430</v>
      </c>
      <c r="B178" s="253" t="s">
        <v>461</v>
      </c>
      <c r="C178" s="253" t="s">
        <v>461</v>
      </c>
      <c r="D178" s="29" t="s">
        <v>433</v>
      </c>
      <c r="E178" s="9"/>
      <c r="F178" s="18"/>
      <c r="G178" s="40"/>
      <c r="H178" s="9"/>
    </row>
    <row r="179" spans="1:8" ht="57.6">
      <c r="A179" s="76" t="s">
        <v>430</v>
      </c>
      <c r="B179" s="253" t="s">
        <v>462</v>
      </c>
      <c r="C179" s="253" t="s">
        <v>462</v>
      </c>
      <c r="D179" s="29"/>
      <c r="E179" s="9"/>
      <c r="F179" s="18"/>
      <c r="G179" s="40"/>
      <c r="H179" s="9"/>
    </row>
    <row r="180" spans="1:8" ht="72">
      <c r="A180" s="76" t="s">
        <v>430</v>
      </c>
      <c r="B180" s="253" t="s">
        <v>463</v>
      </c>
      <c r="C180" s="29" t="s">
        <v>449</v>
      </c>
      <c r="D180" s="29" t="s">
        <v>433</v>
      </c>
      <c r="E180" s="9" t="s">
        <v>464</v>
      </c>
      <c r="F180" s="18">
        <v>45976</v>
      </c>
      <c r="G180" s="40"/>
      <c r="H180" s="9" t="s">
        <v>465</v>
      </c>
    </row>
    <row r="181" spans="1:8" ht="43.2">
      <c r="A181" s="76" t="s">
        <v>430</v>
      </c>
      <c r="B181" s="253" t="s">
        <v>466</v>
      </c>
      <c r="C181" s="253" t="s">
        <v>466</v>
      </c>
      <c r="D181" s="29" t="s">
        <v>433</v>
      </c>
      <c r="E181" s="9"/>
      <c r="F181" s="18"/>
      <c r="G181" s="40"/>
      <c r="H181" s="9"/>
    </row>
    <row r="182" spans="1:8" ht="28.8">
      <c r="A182" s="76" t="s">
        <v>430</v>
      </c>
      <c r="B182" s="253" t="s">
        <v>467</v>
      </c>
      <c r="C182" s="29"/>
      <c r="D182" s="29"/>
      <c r="E182" s="9"/>
      <c r="F182" s="19"/>
      <c r="G182" s="41"/>
      <c r="H182" s="10"/>
    </row>
    <row r="183" spans="1:8" ht="115.2">
      <c r="A183" s="126" t="s">
        <v>468</v>
      </c>
      <c r="B183" s="127" t="s">
        <v>469</v>
      </c>
      <c r="C183" s="128" t="s">
        <v>470</v>
      </c>
      <c r="D183" s="128" t="s">
        <v>471</v>
      </c>
      <c r="E183" s="256" t="s">
        <v>472</v>
      </c>
      <c r="F183" s="47"/>
      <c r="G183" s="47"/>
      <c r="H183" s="47"/>
    </row>
    <row r="184" spans="1:8" ht="100.8">
      <c r="A184" s="126" t="s">
        <v>468</v>
      </c>
      <c r="B184" s="131" t="s">
        <v>473</v>
      </c>
      <c r="C184" s="132" t="s">
        <v>474</v>
      </c>
      <c r="D184" s="135" t="s">
        <v>471</v>
      </c>
      <c r="E184" s="257" t="s">
        <v>475</v>
      </c>
      <c r="F184" s="47"/>
      <c r="G184" s="47"/>
      <c r="H184" s="47"/>
    </row>
    <row r="185" spans="1:8" ht="115.2">
      <c r="A185" s="126" t="s">
        <v>468</v>
      </c>
      <c r="B185" s="131" t="s">
        <v>476</v>
      </c>
      <c r="C185" s="132" t="s">
        <v>477</v>
      </c>
      <c r="D185" s="135" t="s">
        <v>471</v>
      </c>
      <c r="E185" s="257" t="s">
        <v>478</v>
      </c>
      <c r="F185" s="47"/>
      <c r="G185" s="47"/>
      <c r="H185" s="47"/>
    </row>
    <row r="186" spans="1:8" ht="100.8">
      <c r="A186" s="126" t="s">
        <v>468</v>
      </c>
      <c r="B186" s="131" t="s">
        <v>479</v>
      </c>
      <c r="C186" s="132" t="s">
        <v>480</v>
      </c>
      <c r="D186" s="135" t="s">
        <v>471</v>
      </c>
      <c r="E186" s="257" t="s">
        <v>481</v>
      </c>
      <c r="F186" s="47"/>
      <c r="G186" s="47"/>
      <c r="H186" s="47"/>
    </row>
    <row r="187" spans="1:8" ht="115.2">
      <c r="A187" s="134" t="s">
        <v>468</v>
      </c>
      <c r="B187" s="131" t="s">
        <v>482</v>
      </c>
      <c r="C187" s="132" t="s">
        <v>483</v>
      </c>
      <c r="D187" s="137" t="s">
        <v>471</v>
      </c>
      <c r="E187" s="258" t="s">
        <v>481</v>
      </c>
      <c r="F187" s="47"/>
      <c r="G187" s="47"/>
      <c r="H187" s="47"/>
    </row>
    <row r="188" spans="1:8" ht="43.2">
      <c r="A188" s="222" t="s">
        <v>484</v>
      </c>
      <c r="B188" s="223" t="s">
        <v>485</v>
      </c>
      <c r="C188" s="223" t="s">
        <v>486</v>
      </c>
      <c r="D188" s="223" t="s">
        <v>487</v>
      </c>
      <c r="E188" s="223">
        <v>52</v>
      </c>
      <c r="F188" s="8"/>
      <c r="G188" s="22"/>
      <c r="H188" s="7"/>
    </row>
    <row r="189" spans="1:8" ht="43.2">
      <c r="A189" s="9" t="s">
        <v>484</v>
      </c>
      <c r="B189" s="9" t="s">
        <v>488</v>
      </c>
      <c r="C189" s="9" t="s">
        <v>489</v>
      </c>
      <c r="D189" s="9" t="s">
        <v>487</v>
      </c>
      <c r="E189" s="9">
        <v>12</v>
      </c>
      <c r="F189" s="18"/>
      <c r="G189" s="23"/>
      <c r="H189" s="9"/>
    </row>
    <row r="190" spans="1:8" ht="43.2">
      <c r="A190" s="9" t="s">
        <v>484</v>
      </c>
      <c r="B190" s="9" t="s">
        <v>488</v>
      </c>
      <c r="C190" s="9" t="s">
        <v>489</v>
      </c>
      <c r="D190" s="9" t="s">
        <v>487</v>
      </c>
      <c r="E190" s="9">
        <v>12</v>
      </c>
      <c r="F190" s="18"/>
      <c r="G190" s="23"/>
      <c r="H190" s="9"/>
    </row>
    <row r="191" spans="1:8" ht="43.2">
      <c r="A191" s="9" t="s">
        <v>484</v>
      </c>
      <c r="B191" s="9" t="s">
        <v>488</v>
      </c>
      <c r="C191" s="9" t="s">
        <v>489</v>
      </c>
      <c r="D191" s="9" t="s">
        <v>487</v>
      </c>
      <c r="E191" s="9">
        <v>12</v>
      </c>
      <c r="F191" s="18"/>
      <c r="G191" s="23"/>
      <c r="H191" s="9"/>
    </row>
    <row r="192" spans="1:8" ht="43.2">
      <c r="A192" s="9" t="s">
        <v>484</v>
      </c>
      <c r="B192" s="9" t="s">
        <v>490</v>
      </c>
      <c r="C192" s="9" t="s">
        <v>491</v>
      </c>
      <c r="D192" s="9" t="s">
        <v>487</v>
      </c>
      <c r="E192" s="9">
        <v>34</v>
      </c>
      <c r="F192" s="18"/>
      <c r="G192" s="23"/>
      <c r="H192" s="9"/>
    </row>
    <row r="193" spans="1:8" ht="43.2">
      <c r="A193" s="9" t="s">
        <v>484</v>
      </c>
      <c r="B193" s="9" t="s">
        <v>490</v>
      </c>
      <c r="C193" s="9" t="s">
        <v>491</v>
      </c>
      <c r="D193" s="9" t="s">
        <v>487</v>
      </c>
      <c r="E193" s="9">
        <v>4</v>
      </c>
      <c r="F193" s="18"/>
      <c r="G193" s="23"/>
      <c r="H193" s="9"/>
    </row>
    <row r="194" spans="1:8" ht="43.2">
      <c r="A194" s="9" t="s">
        <v>484</v>
      </c>
      <c r="B194" s="9" t="s">
        <v>490</v>
      </c>
      <c r="C194" s="9" t="s">
        <v>491</v>
      </c>
      <c r="D194" s="9" t="s">
        <v>487</v>
      </c>
      <c r="E194" s="9">
        <v>2</v>
      </c>
      <c r="F194" s="18"/>
      <c r="G194" s="23"/>
      <c r="H194" s="9"/>
    </row>
    <row r="195" spans="1:8" ht="28.8">
      <c r="A195" s="9" t="s">
        <v>484</v>
      </c>
      <c r="B195" s="9" t="s">
        <v>492</v>
      </c>
      <c r="C195" s="9" t="s">
        <v>493</v>
      </c>
      <c r="D195" s="9" t="s">
        <v>487</v>
      </c>
      <c r="E195" s="9">
        <v>12</v>
      </c>
      <c r="F195" s="18"/>
      <c r="G195" s="23"/>
      <c r="H195" s="9"/>
    </row>
    <row r="196" spans="1:8" ht="28.8">
      <c r="A196" s="9" t="s">
        <v>484</v>
      </c>
      <c r="B196" s="9" t="s">
        <v>492</v>
      </c>
      <c r="C196" s="9" t="s">
        <v>494</v>
      </c>
      <c r="D196" s="9" t="s">
        <v>487</v>
      </c>
      <c r="E196" s="9">
        <v>12</v>
      </c>
      <c r="F196" s="18"/>
      <c r="G196" s="23"/>
      <c r="H196" s="9"/>
    </row>
    <row r="197" spans="1:8" ht="28.8">
      <c r="A197" s="9" t="s">
        <v>484</v>
      </c>
      <c r="B197" s="9" t="s">
        <v>492</v>
      </c>
      <c r="C197" s="9" t="s">
        <v>494</v>
      </c>
      <c r="D197" s="9" t="s">
        <v>487</v>
      </c>
      <c r="E197" s="9">
        <v>3</v>
      </c>
      <c r="F197" s="18"/>
      <c r="G197" s="23"/>
      <c r="H197" s="9"/>
    </row>
    <row r="198" spans="1:8" ht="43.2">
      <c r="A198" s="10" t="s">
        <v>484</v>
      </c>
      <c r="B198" s="10" t="s">
        <v>495</v>
      </c>
      <c r="C198" s="10" t="s">
        <v>494</v>
      </c>
      <c r="D198" s="10" t="s">
        <v>487</v>
      </c>
      <c r="E198" s="10">
        <v>4</v>
      </c>
      <c r="F198" s="19"/>
      <c r="G198" s="24"/>
      <c r="H198" s="10"/>
    </row>
    <row r="199" spans="1:8" ht="43.2">
      <c r="A199" s="47" t="s">
        <v>484</v>
      </c>
      <c r="B199" s="9" t="s">
        <v>495</v>
      </c>
      <c r="C199" s="9" t="s">
        <v>494</v>
      </c>
      <c r="D199" s="47" t="s">
        <v>487</v>
      </c>
      <c r="E199" s="47">
        <v>4</v>
      </c>
      <c r="F199" s="20"/>
      <c r="G199" s="25"/>
      <c r="H199" s="11"/>
    </row>
    <row r="200" spans="1:8" ht="43.2">
      <c r="A200" s="47" t="s">
        <v>484</v>
      </c>
      <c r="B200" s="9" t="s">
        <v>495</v>
      </c>
      <c r="C200" s="9" t="s">
        <v>494</v>
      </c>
      <c r="D200" s="47" t="s">
        <v>487</v>
      </c>
      <c r="E200" s="47">
        <v>4</v>
      </c>
      <c r="F200" s="20"/>
      <c r="G200" s="25"/>
      <c r="H200" s="11"/>
    </row>
    <row r="201" spans="1:8" ht="28.8">
      <c r="A201" s="47" t="s">
        <v>484</v>
      </c>
      <c r="B201" s="9" t="s">
        <v>496</v>
      </c>
      <c r="C201" s="9" t="s">
        <v>497</v>
      </c>
      <c r="D201" s="47" t="s">
        <v>487</v>
      </c>
      <c r="E201" s="47">
        <v>3</v>
      </c>
      <c r="F201" s="20"/>
      <c r="G201" s="25"/>
      <c r="H201" s="11"/>
    </row>
    <row r="202" spans="1:8" ht="28.8">
      <c r="A202" s="47" t="s">
        <v>484</v>
      </c>
      <c r="B202" s="9" t="s">
        <v>492</v>
      </c>
      <c r="C202" s="9" t="s">
        <v>497</v>
      </c>
      <c r="D202" s="47" t="s">
        <v>487</v>
      </c>
      <c r="E202" s="47">
        <v>1</v>
      </c>
      <c r="F202" s="20"/>
      <c r="G202" s="25"/>
      <c r="H202" s="11"/>
    </row>
    <row r="203" spans="1:8" ht="28.8">
      <c r="A203" s="47" t="s">
        <v>484</v>
      </c>
      <c r="B203" s="9" t="s">
        <v>492</v>
      </c>
      <c r="C203" s="9" t="s">
        <v>497</v>
      </c>
      <c r="D203" s="47" t="s">
        <v>487</v>
      </c>
      <c r="E203" s="47">
        <v>1</v>
      </c>
      <c r="F203" s="20"/>
      <c r="G203" s="25"/>
      <c r="H203" s="11"/>
    </row>
    <row r="204" spans="1:8" ht="28.8">
      <c r="A204" s="47" t="s">
        <v>484</v>
      </c>
      <c r="B204" s="9" t="s">
        <v>498</v>
      </c>
      <c r="C204" s="9" t="s">
        <v>499</v>
      </c>
      <c r="D204" s="47" t="s">
        <v>487</v>
      </c>
      <c r="E204" s="47">
        <v>12</v>
      </c>
      <c r="F204" s="20"/>
      <c r="G204" s="25"/>
      <c r="H204" s="11"/>
    </row>
    <row r="205" spans="1:8" ht="28.8">
      <c r="A205" s="224" t="s">
        <v>484</v>
      </c>
      <c r="B205" s="10" t="s">
        <v>498</v>
      </c>
      <c r="C205" s="10" t="s">
        <v>499</v>
      </c>
      <c r="D205" s="224" t="s">
        <v>487</v>
      </c>
      <c r="E205" s="224">
        <v>12</v>
      </c>
      <c r="F205" s="20"/>
      <c r="G205" s="25"/>
      <c r="H205" s="11"/>
    </row>
    <row r="206" spans="1:8" ht="28.8">
      <c r="A206" s="47" t="s">
        <v>484</v>
      </c>
      <c r="B206" s="9" t="s">
        <v>498</v>
      </c>
      <c r="C206" s="9" t="s">
        <v>499</v>
      </c>
      <c r="D206" s="47" t="s">
        <v>487</v>
      </c>
      <c r="E206" s="47">
        <v>12</v>
      </c>
      <c r="F206" s="20"/>
      <c r="G206" s="25"/>
      <c r="H206" s="11"/>
    </row>
    <row r="207" spans="1:8" ht="43.2">
      <c r="A207" s="47" t="s">
        <v>484</v>
      </c>
      <c r="B207" s="9" t="s">
        <v>500</v>
      </c>
      <c r="C207" s="47" t="s">
        <v>501</v>
      </c>
      <c r="D207" s="47" t="s">
        <v>487</v>
      </c>
      <c r="E207" s="47">
        <v>13</v>
      </c>
      <c r="F207" s="20"/>
      <c r="G207" s="25"/>
      <c r="H207" s="11"/>
    </row>
    <row r="208" spans="1:8" ht="43.2">
      <c r="A208" s="76" t="s">
        <v>502</v>
      </c>
      <c r="B208" s="116" t="s">
        <v>503</v>
      </c>
      <c r="C208" s="239" t="s">
        <v>504</v>
      </c>
      <c r="D208" s="239" t="s">
        <v>505</v>
      </c>
      <c r="E208" s="240"/>
      <c r="F208" s="241">
        <v>45974</v>
      </c>
      <c r="G208" s="254"/>
      <c r="H208" s="240"/>
    </row>
    <row r="209" spans="1:8" ht="57.6">
      <c r="A209" s="76" t="s">
        <v>502</v>
      </c>
      <c r="B209" s="116" t="s">
        <v>506</v>
      </c>
      <c r="C209" s="29" t="s">
        <v>507</v>
      </c>
      <c r="D209" s="239" t="s">
        <v>505</v>
      </c>
      <c r="E209" s="9"/>
      <c r="F209" s="18">
        <v>45995</v>
      </c>
      <c r="G209" s="40"/>
      <c r="H209" s="9"/>
    </row>
    <row r="210" spans="1:8" ht="28.8">
      <c r="A210" s="76" t="s">
        <v>502</v>
      </c>
      <c r="B210" s="116" t="s">
        <v>508</v>
      </c>
      <c r="C210" s="29" t="s">
        <v>509</v>
      </c>
      <c r="D210" s="239" t="s">
        <v>505</v>
      </c>
      <c r="E210" s="9"/>
      <c r="F210" s="18">
        <v>45961</v>
      </c>
      <c r="G210" s="40"/>
      <c r="H210" s="9"/>
    </row>
    <row r="211" spans="1:8" ht="57.6">
      <c r="A211" s="76" t="s">
        <v>502</v>
      </c>
      <c r="B211" s="116" t="s">
        <v>510</v>
      </c>
      <c r="C211" s="29" t="s">
        <v>511</v>
      </c>
      <c r="D211" s="239" t="s">
        <v>505</v>
      </c>
      <c r="E211" s="9"/>
      <c r="F211" s="18">
        <v>45933</v>
      </c>
      <c r="G211" s="40" t="s">
        <v>512</v>
      </c>
      <c r="H211" s="9" t="s">
        <v>513</v>
      </c>
    </row>
    <row r="212" spans="1:8" ht="43.2">
      <c r="A212" s="76" t="s">
        <v>502</v>
      </c>
      <c r="B212" s="116" t="s">
        <v>514</v>
      </c>
      <c r="C212" s="29" t="s">
        <v>515</v>
      </c>
      <c r="D212" s="239" t="s">
        <v>505</v>
      </c>
      <c r="E212" s="9"/>
      <c r="F212" s="18">
        <v>46004</v>
      </c>
      <c r="G212" s="40"/>
      <c r="H212" s="9"/>
    </row>
    <row r="213" spans="1:8" ht="28.8">
      <c r="A213" s="76" t="s">
        <v>502</v>
      </c>
      <c r="B213" s="116" t="s">
        <v>516</v>
      </c>
      <c r="C213" s="29" t="s">
        <v>517</v>
      </c>
      <c r="D213" s="239" t="s">
        <v>505</v>
      </c>
      <c r="E213" s="9"/>
      <c r="F213" s="18">
        <v>45953</v>
      </c>
      <c r="G213" s="40"/>
      <c r="H213" s="9"/>
    </row>
    <row r="214" spans="1:8" ht="72">
      <c r="A214" s="76" t="s">
        <v>502</v>
      </c>
      <c r="B214" s="116" t="s">
        <v>518</v>
      </c>
      <c r="C214" s="29" t="s">
        <v>519</v>
      </c>
      <c r="D214" s="239" t="s">
        <v>505</v>
      </c>
      <c r="E214" s="9"/>
      <c r="F214" s="18">
        <v>45988</v>
      </c>
      <c r="G214" s="40"/>
      <c r="H214" s="9"/>
    </row>
    <row r="215" spans="1:8" ht="43.2">
      <c r="A215" s="76" t="s">
        <v>502</v>
      </c>
      <c r="B215" s="116" t="s">
        <v>520</v>
      </c>
      <c r="C215" s="29" t="s">
        <v>521</v>
      </c>
      <c r="D215" s="239" t="s">
        <v>505</v>
      </c>
      <c r="E215" s="9"/>
      <c r="F215" s="18">
        <v>45981</v>
      </c>
      <c r="G215" s="40"/>
      <c r="H215" s="9"/>
    </row>
    <row r="216" spans="1:8" ht="28.8">
      <c r="A216" s="76" t="s">
        <v>502</v>
      </c>
      <c r="B216" s="9" t="s">
        <v>522</v>
      </c>
      <c r="C216" s="29"/>
      <c r="D216" s="29"/>
      <c r="E216" s="9"/>
      <c r="F216" s="18"/>
      <c r="G216" s="40"/>
      <c r="H216" s="9"/>
    </row>
    <row r="217" spans="1:8" ht="100.8">
      <c r="A217" s="28" t="s">
        <v>523</v>
      </c>
      <c r="B217" s="173" t="s">
        <v>524</v>
      </c>
      <c r="C217" s="32" t="s">
        <v>525</v>
      </c>
      <c r="D217" s="32" t="s">
        <v>526</v>
      </c>
      <c r="E217" s="7" t="s">
        <v>527</v>
      </c>
      <c r="F217" s="8">
        <v>46006</v>
      </c>
      <c r="G217" s="39"/>
      <c r="H217" s="7"/>
    </row>
    <row r="218" spans="1:8" ht="86.4">
      <c r="A218" s="28" t="s">
        <v>523</v>
      </c>
      <c r="B218" s="174" t="s">
        <v>528</v>
      </c>
      <c r="C218" s="29" t="s">
        <v>529</v>
      </c>
      <c r="D218" s="177" t="s">
        <v>526</v>
      </c>
      <c r="E218" s="9" t="s">
        <v>359</v>
      </c>
      <c r="F218" s="181">
        <v>45931</v>
      </c>
      <c r="G218" s="40"/>
      <c r="H218" s="9"/>
    </row>
    <row r="219" spans="1:8" ht="100.8">
      <c r="A219" s="28" t="s">
        <v>523</v>
      </c>
      <c r="B219" s="174" t="s">
        <v>530</v>
      </c>
      <c r="C219" s="29" t="s">
        <v>531</v>
      </c>
      <c r="D219" s="177" t="s">
        <v>526</v>
      </c>
      <c r="E219" s="9" t="s">
        <v>356</v>
      </c>
      <c r="F219" s="181">
        <v>46008</v>
      </c>
      <c r="G219" s="40"/>
      <c r="H219" s="9"/>
    </row>
    <row r="220" spans="1:8" ht="86.4">
      <c r="A220" s="28" t="s">
        <v>523</v>
      </c>
      <c r="B220" s="174" t="s">
        <v>532</v>
      </c>
      <c r="C220" s="29" t="s">
        <v>533</v>
      </c>
      <c r="D220" s="177" t="s">
        <v>526</v>
      </c>
      <c r="E220" s="9" t="s">
        <v>534</v>
      </c>
      <c r="F220" s="181">
        <v>46009</v>
      </c>
      <c r="G220" s="40"/>
      <c r="H220" s="9"/>
    </row>
    <row r="221" spans="1:8" ht="100.8">
      <c r="A221" s="28" t="s">
        <v>523</v>
      </c>
      <c r="B221" s="174" t="s">
        <v>535</v>
      </c>
      <c r="C221" s="29" t="s">
        <v>536</v>
      </c>
      <c r="D221" s="177" t="s">
        <v>526</v>
      </c>
      <c r="E221" s="9" t="s">
        <v>362</v>
      </c>
      <c r="F221" s="181">
        <v>46010</v>
      </c>
      <c r="G221" s="40"/>
      <c r="H221" s="9"/>
    </row>
    <row r="222" spans="1:8" ht="86.4">
      <c r="A222" s="28" t="s">
        <v>523</v>
      </c>
      <c r="B222" s="174" t="s">
        <v>537</v>
      </c>
      <c r="C222" s="29" t="s">
        <v>538</v>
      </c>
      <c r="D222" s="177" t="s">
        <v>526</v>
      </c>
      <c r="E222" s="178" t="s">
        <v>539</v>
      </c>
      <c r="F222" s="181">
        <v>46011</v>
      </c>
      <c r="G222" s="40"/>
      <c r="H222" s="9"/>
    </row>
    <row r="223" spans="1:8" ht="100.8">
      <c r="A223" s="28" t="s">
        <v>523</v>
      </c>
      <c r="B223" s="174" t="s">
        <v>540</v>
      </c>
      <c r="C223" s="29" t="s">
        <v>541</v>
      </c>
      <c r="D223" s="177" t="s">
        <v>526</v>
      </c>
      <c r="E223" s="9"/>
      <c r="F223" s="181">
        <v>46012</v>
      </c>
      <c r="G223" s="40"/>
      <c r="H223" s="9"/>
    </row>
    <row r="224" spans="1:8" ht="100.8">
      <c r="A224" s="76" t="s">
        <v>523</v>
      </c>
      <c r="B224" s="179" t="s">
        <v>542</v>
      </c>
      <c r="C224" s="29" t="s">
        <v>543</v>
      </c>
      <c r="D224" s="180" t="s">
        <v>526</v>
      </c>
      <c r="E224" s="9" t="s">
        <v>359</v>
      </c>
      <c r="F224" s="182">
        <v>46013</v>
      </c>
      <c r="G224" s="40"/>
      <c r="H224" s="9"/>
    </row>
    <row r="225" spans="1:8" ht="86.4">
      <c r="A225" s="232" t="s">
        <v>523</v>
      </c>
      <c r="B225" s="179" t="s">
        <v>544</v>
      </c>
      <c r="C225" s="29" t="s">
        <v>545</v>
      </c>
      <c r="D225" s="180" t="s">
        <v>526</v>
      </c>
      <c r="E225" s="9" t="s">
        <v>546</v>
      </c>
      <c r="F225" s="182">
        <v>45945</v>
      </c>
      <c r="G225" s="40"/>
      <c r="H225" s="9"/>
    </row>
    <row r="226" spans="1:8" ht="28.8">
      <c r="A226" s="28" t="s">
        <v>547</v>
      </c>
      <c r="B226" s="32" t="s">
        <v>548</v>
      </c>
      <c r="C226" s="32" t="s">
        <v>549</v>
      </c>
      <c r="D226" s="32" t="s">
        <v>550</v>
      </c>
      <c r="E226" s="7">
        <v>18</v>
      </c>
      <c r="F226" s="8"/>
      <c r="G226" s="39"/>
      <c r="H226" s="7"/>
    </row>
    <row r="227" spans="1:8" ht="28.8">
      <c r="A227" s="28" t="s">
        <v>547</v>
      </c>
      <c r="B227" s="29" t="s">
        <v>551</v>
      </c>
      <c r="C227" s="29" t="s">
        <v>552</v>
      </c>
      <c r="D227" s="29" t="s">
        <v>550</v>
      </c>
      <c r="E227" s="9">
        <v>600</v>
      </c>
      <c r="F227" s="18"/>
      <c r="G227" s="40"/>
      <c r="H227" s="9"/>
    </row>
    <row r="228" spans="1:8" ht="57.6">
      <c r="A228" s="28" t="s">
        <v>547</v>
      </c>
      <c r="B228" s="29" t="s">
        <v>553</v>
      </c>
      <c r="C228" s="29" t="s">
        <v>554</v>
      </c>
      <c r="D228" s="29" t="s">
        <v>550</v>
      </c>
      <c r="E228" s="9">
        <v>1500</v>
      </c>
      <c r="F228" s="18"/>
      <c r="G228" s="40"/>
      <c r="H228" s="9"/>
    </row>
    <row r="229" spans="1:8" ht="57.6">
      <c r="A229" s="28" t="s">
        <v>547</v>
      </c>
      <c r="B229" s="29" t="s">
        <v>555</v>
      </c>
      <c r="C229" s="29" t="s">
        <v>556</v>
      </c>
      <c r="D229" s="29" t="s">
        <v>550</v>
      </c>
      <c r="E229" s="9">
        <v>275</v>
      </c>
      <c r="F229" s="18"/>
      <c r="G229" s="40"/>
      <c r="H229" s="9"/>
    </row>
    <row r="230" spans="1:8" ht="57.6">
      <c r="A230" s="28" t="s">
        <v>547</v>
      </c>
      <c r="B230" s="29" t="s">
        <v>557</v>
      </c>
      <c r="C230" s="29" t="s">
        <v>558</v>
      </c>
      <c r="D230" s="29" t="s">
        <v>550</v>
      </c>
      <c r="E230" s="9">
        <v>625</v>
      </c>
      <c r="F230" s="18"/>
      <c r="G230" s="40"/>
      <c r="H230" s="9"/>
    </row>
    <row r="231" spans="1:8" ht="43.2">
      <c r="A231" s="28" t="s">
        <v>547</v>
      </c>
      <c r="B231" s="29" t="s">
        <v>559</v>
      </c>
      <c r="C231" s="29" t="s">
        <v>560</v>
      </c>
      <c r="D231" s="29" t="s">
        <v>550</v>
      </c>
      <c r="E231" s="9">
        <v>6</v>
      </c>
      <c r="F231" s="18"/>
      <c r="G231" s="40"/>
      <c r="H231" s="9"/>
    </row>
    <row r="232" spans="1:8" ht="115.2">
      <c r="A232" s="76" t="s">
        <v>561</v>
      </c>
      <c r="B232" s="116" t="s">
        <v>562</v>
      </c>
      <c r="C232" s="9" t="s">
        <v>563</v>
      </c>
      <c r="D232" s="117" t="s">
        <v>564</v>
      </c>
      <c r="E232" s="7" t="s">
        <v>565</v>
      </c>
      <c r="F232" s="8">
        <v>45931</v>
      </c>
      <c r="G232" s="39"/>
      <c r="H232" s="7"/>
    </row>
    <row r="233" spans="1:8" ht="129.6">
      <c r="A233" s="76" t="s">
        <v>561</v>
      </c>
      <c r="B233" s="116" t="s">
        <v>566</v>
      </c>
      <c r="C233" s="9" t="s">
        <v>567</v>
      </c>
      <c r="D233" s="71" t="s">
        <v>564</v>
      </c>
      <c r="E233" s="7" t="s">
        <v>568</v>
      </c>
      <c r="F233" s="18">
        <v>45931</v>
      </c>
      <c r="G233" s="40"/>
      <c r="H233" s="9"/>
    </row>
    <row r="234" spans="1:8" ht="62.4">
      <c r="A234" s="9" t="s">
        <v>569</v>
      </c>
      <c r="B234" s="114" t="s">
        <v>570</v>
      </c>
      <c r="C234" s="259" t="s">
        <v>571</v>
      </c>
      <c r="D234" s="9" t="s">
        <v>572</v>
      </c>
      <c r="E234" s="114" t="s">
        <v>573</v>
      </c>
      <c r="F234" s="18">
        <v>45944</v>
      </c>
      <c r="G234" s="240"/>
      <c r="H234" s="240"/>
    </row>
    <row r="235" spans="1:8" ht="62.4">
      <c r="A235" s="260" t="s">
        <v>574</v>
      </c>
      <c r="B235" s="114" t="s">
        <v>575</v>
      </c>
      <c r="C235" s="259" t="s">
        <v>576</v>
      </c>
      <c r="D235" s="9" t="s">
        <v>572</v>
      </c>
      <c r="E235" s="114" t="s">
        <v>573</v>
      </c>
      <c r="F235" s="261">
        <v>45960</v>
      </c>
      <c r="G235" s="240"/>
      <c r="H235" s="240"/>
    </row>
    <row r="236" spans="1:8" ht="62.4">
      <c r="A236" s="260" t="s">
        <v>574</v>
      </c>
      <c r="B236" s="114" t="s">
        <v>577</v>
      </c>
      <c r="C236" s="259" t="s">
        <v>578</v>
      </c>
      <c r="D236" s="9" t="s">
        <v>572</v>
      </c>
      <c r="E236" s="114" t="s">
        <v>579</v>
      </c>
      <c r="F236" s="261">
        <v>45972</v>
      </c>
      <c r="G236" s="240"/>
      <c r="H236" s="240"/>
    </row>
    <row r="237" spans="1:8" ht="46.8">
      <c r="A237" s="260" t="s">
        <v>574</v>
      </c>
      <c r="B237" s="114" t="s">
        <v>580</v>
      </c>
      <c r="C237" s="259" t="s">
        <v>581</v>
      </c>
      <c r="D237" s="9" t="s">
        <v>572</v>
      </c>
      <c r="E237" s="114" t="s">
        <v>582</v>
      </c>
      <c r="F237" s="255">
        <v>45958</v>
      </c>
      <c r="G237" s="9"/>
      <c r="H237" s="9"/>
    </row>
    <row r="238" spans="1:8" ht="156">
      <c r="A238" s="260" t="s">
        <v>574</v>
      </c>
      <c r="B238" s="114" t="s">
        <v>583</v>
      </c>
      <c r="C238" s="262" t="s">
        <v>584</v>
      </c>
      <c r="D238" s="9" t="s">
        <v>572</v>
      </c>
      <c r="E238" s="114" t="s">
        <v>585</v>
      </c>
      <c r="F238" s="18">
        <v>45946</v>
      </c>
      <c r="G238" s="9"/>
      <c r="H238" s="9"/>
    </row>
    <row r="239" spans="1:8" ht="69.599999999999994">
      <c r="A239" s="260" t="s">
        <v>574</v>
      </c>
      <c r="B239" s="263" t="s">
        <v>586</v>
      </c>
      <c r="C239" s="264" t="s">
        <v>587</v>
      </c>
      <c r="D239" s="9" t="s">
        <v>572</v>
      </c>
      <c r="E239" s="9" t="s">
        <v>588</v>
      </c>
      <c r="F239" s="18">
        <v>45962</v>
      </c>
      <c r="G239" s="9"/>
      <c r="H239" s="47"/>
    </row>
    <row r="240" spans="1:8" ht="140.4">
      <c r="A240" s="260" t="s">
        <v>574</v>
      </c>
      <c r="B240" s="265" t="s">
        <v>589</v>
      </c>
      <c r="C240" s="262" t="s">
        <v>590</v>
      </c>
      <c r="D240" s="9" t="s">
        <v>572</v>
      </c>
      <c r="E240" s="9" t="s">
        <v>591</v>
      </c>
      <c r="F240" s="47" t="s">
        <v>592</v>
      </c>
      <c r="G240" s="9"/>
      <c r="H240" s="47"/>
    </row>
    <row r="241" spans="1:8" ht="124.8">
      <c r="A241" s="260" t="s">
        <v>574</v>
      </c>
      <c r="B241" s="119" t="s">
        <v>593</v>
      </c>
      <c r="C241" s="119" t="s">
        <v>594</v>
      </c>
      <c r="D241" s="9" t="s">
        <v>572</v>
      </c>
      <c r="E241" s="9" t="s">
        <v>595</v>
      </c>
      <c r="F241" s="255">
        <v>45940</v>
      </c>
      <c r="G241" s="47"/>
      <c r="H241" s="47"/>
    </row>
    <row r="242" spans="1:8" ht="86.4">
      <c r="A242" s="260" t="s">
        <v>574</v>
      </c>
      <c r="B242" s="114" t="s">
        <v>596</v>
      </c>
      <c r="C242" s="9" t="s">
        <v>597</v>
      </c>
      <c r="D242" s="9" t="s">
        <v>572</v>
      </c>
      <c r="E242" s="9" t="s">
        <v>598</v>
      </c>
      <c r="F242" s="255">
        <v>46008</v>
      </c>
      <c r="G242" s="9"/>
      <c r="H242" s="47"/>
    </row>
    <row r="243" spans="1:8" ht="43.2">
      <c r="A243" s="260" t="s">
        <v>574</v>
      </c>
      <c r="B243" s="9" t="s">
        <v>599</v>
      </c>
      <c r="C243" s="9" t="s">
        <v>600</v>
      </c>
      <c r="D243" s="9" t="s">
        <v>572</v>
      </c>
      <c r="E243" s="9" t="s">
        <v>601</v>
      </c>
      <c r="F243" s="255">
        <v>45981</v>
      </c>
      <c r="G243" s="9"/>
      <c r="H243" s="47"/>
    </row>
    <row r="244" spans="1:8" ht="72">
      <c r="A244" s="260" t="s">
        <v>574</v>
      </c>
      <c r="B244" s="9" t="s">
        <v>602</v>
      </c>
      <c r="C244" s="9" t="s">
        <v>603</v>
      </c>
      <c r="D244" s="9" t="s">
        <v>572</v>
      </c>
      <c r="E244" s="9" t="s">
        <v>604</v>
      </c>
      <c r="F244" s="255">
        <v>45938</v>
      </c>
      <c r="G244" s="9" t="s">
        <v>47</v>
      </c>
      <c r="H244" s="47"/>
    </row>
    <row r="245" spans="1:8" ht="57.6">
      <c r="A245" s="260" t="s">
        <v>574</v>
      </c>
      <c r="B245" s="9" t="s">
        <v>605</v>
      </c>
      <c r="C245" s="9" t="s">
        <v>606</v>
      </c>
      <c r="D245" s="9" t="s">
        <v>572</v>
      </c>
      <c r="E245" s="9" t="s">
        <v>607</v>
      </c>
      <c r="F245" s="255">
        <v>45959</v>
      </c>
      <c r="G245" s="9"/>
      <c r="H245" s="47"/>
    </row>
    <row r="246" spans="1:8" ht="72">
      <c r="A246" s="260" t="s">
        <v>574</v>
      </c>
      <c r="B246" s="9" t="s">
        <v>608</v>
      </c>
      <c r="C246" s="9" t="s">
        <v>609</v>
      </c>
      <c r="D246" s="9" t="s">
        <v>610</v>
      </c>
      <c r="E246" s="9" t="s">
        <v>611</v>
      </c>
      <c r="F246" s="266">
        <v>45979</v>
      </c>
      <c r="G246" s="47"/>
      <c r="H246" s="47"/>
    </row>
    <row r="247" spans="1:8" ht="72">
      <c r="A247" s="260" t="s">
        <v>574</v>
      </c>
      <c r="B247" s="47" t="s">
        <v>612</v>
      </c>
      <c r="C247" s="9" t="s">
        <v>613</v>
      </c>
      <c r="D247" s="9" t="s">
        <v>572</v>
      </c>
      <c r="E247" s="9" t="s">
        <v>614</v>
      </c>
      <c r="F247" s="18">
        <v>45937</v>
      </c>
      <c r="G247" s="47" t="s">
        <v>47</v>
      </c>
      <c r="H247" s="47"/>
    </row>
    <row r="248" spans="1:8" ht="62.4">
      <c r="A248" s="260" t="s">
        <v>574</v>
      </c>
      <c r="B248" s="47" t="s">
        <v>615</v>
      </c>
      <c r="C248" s="9" t="s">
        <v>616</v>
      </c>
      <c r="D248" s="9" t="s">
        <v>572</v>
      </c>
      <c r="E248" s="114" t="s">
        <v>617</v>
      </c>
      <c r="F248" s="255">
        <v>46003</v>
      </c>
      <c r="G248" s="47"/>
      <c r="H248" s="47"/>
    </row>
    <row r="249" spans="1:8" ht="93.6">
      <c r="A249" s="67" t="s">
        <v>618</v>
      </c>
      <c r="B249" s="73" t="s">
        <v>619</v>
      </c>
      <c r="C249" s="78" t="s">
        <v>620</v>
      </c>
      <c r="D249" s="32" t="s">
        <v>621</v>
      </c>
      <c r="E249" s="7"/>
      <c r="F249" s="8"/>
      <c r="G249" s="39"/>
      <c r="H249" s="7"/>
    </row>
    <row r="250" spans="1:8" ht="78">
      <c r="A250" s="76" t="s">
        <v>618</v>
      </c>
      <c r="B250" s="77" t="s">
        <v>622</v>
      </c>
      <c r="C250" s="83" t="s">
        <v>623</v>
      </c>
      <c r="D250" s="29"/>
      <c r="E250" s="9"/>
      <c r="F250" s="18"/>
      <c r="G250" s="40"/>
      <c r="H250" s="9"/>
    </row>
    <row r="251" spans="1:8" ht="78">
      <c r="A251" s="28" t="s">
        <v>618</v>
      </c>
      <c r="B251" s="79" t="s">
        <v>624</v>
      </c>
      <c r="C251" s="82" t="s">
        <v>625</v>
      </c>
      <c r="D251" s="29" t="s">
        <v>626</v>
      </c>
      <c r="E251" s="9"/>
      <c r="F251" s="18"/>
      <c r="G251" s="40"/>
      <c r="H251" s="9"/>
    </row>
    <row r="252" spans="1:8" ht="93.6">
      <c r="A252" s="67" t="s">
        <v>618</v>
      </c>
      <c r="B252" s="85" t="s">
        <v>627</v>
      </c>
      <c r="C252" s="75" t="s">
        <v>628</v>
      </c>
      <c r="D252" s="29" t="s">
        <v>621</v>
      </c>
      <c r="E252" s="9"/>
      <c r="F252" s="18"/>
      <c r="G252" s="40"/>
      <c r="H252" s="9"/>
    </row>
    <row r="253" spans="1:8" ht="93.6">
      <c r="A253" s="67" t="s">
        <v>618</v>
      </c>
      <c r="B253" s="80" t="s">
        <v>629</v>
      </c>
      <c r="C253" s="84" t="s">
        <v>630</v>
      </c>
      <c r="D253" s="71" t="s">
        <v>631</v>
      </c>
      <c r="E253" s="9"/>
      <c r="F253" s="18"/>
      <c r="G253" s="40"/>
      <c r="H253" s="9"/>
    </row>
    <row r="254" spans="1:8" ht="109.2">
      <c r="A254" s="67" t="s">
        <v>618</v>
      </c>
      <c r="B254" s="84" t="s">
        <v>632</v>
      </c>
      <c r="C254" s="75" t="s">
        <v>633</v>
      </c>
      <c r="D254" s="29" t="s">
        <v>634</v>
      </c>
      <c r="E254" s="9"/>
      <c r="F254" s="18"/>
      <c r="G254" s="40"/>
      <c r="H254" s="9"/>
    </row>
    <row r="255" spans="1:8" ht="46.8">
      <c r="A255" s="67" t="s">
        <v>618</v>
      </c>
      <c r="B255" s="85" t="s">
        <v>635</v>
      </c>
      <c r="C255" s="85" t="s">
        <v>636</v>
      </c>
      <c r="D255" s="30" t="s">
        <v>637</v>
      </c>
      <c r="E255" s="10"/>
      <c r="F255" s="19"/>
      <c r="G255" s="41"/>
      <c r="H255" s="10"/>
    </row>
    <row r="256" spans="1:8" ht="46.8">
      <c r="A256" s="67" t="s">
        <v>618</v>
      </c>
      <c r="B256" s="80" t="s">
        <v>638</v>
      </c>
      <c r="C256" s="80" t="s">
        <v>639</v>
      </c>
      <c r="D256" s="276" t="s">
        <v>626</v>
      </c>
      <c r="E256" s="10"/>
      <c r="F256" s="19"/>
      <c r="G256" s="41"/>
      <c r="H256" s="10"/>
    </row>
    <row r="257" spans="1:8" ht="43.2">
      <c r="A257" s="28" t="s">
        <v>640</v>
      </c>
      <c r="B257" s="93" t="s">
        <v>641</v>
      </c>
      <c r="C257" s="47" t="s">
        <v>642</v>
      </c>
      <c r="D257" s="117" t="s">
        <v>643</v>
      </c>
      <c r="E257" s="7">
        <v>1</v>
      </c>
      <c r="F257" s="8">
        <v>45986</v>
      </c>
      <c r="G257" s="39"/>
      <c r="H257" s="7"/>
    </row>
    <row r="258" spans="1:8" ht="28.8">
      <c r="A258" s="28" t="s">
        <v>640</v>
      </c>
      <c r="B258" s="115" t="s">
        <v>644</v>
      </c>
      <c r="C258" t="s">
        <v>645</v>
      </c>
      <c r="D258" s="32" t="s">
        <v>643</v>
      </c>
      <c r="E258" s="9">
        <v>1</v>
      </c>
      <c r="F258" s="18">
        <v>45960</v>
      </c>
      <c r="G258" s="40"/>
      <c r="H258" s="9"/>
    </row>
    <row r="259" spans="1:8" ht="72">
      <c r="A259" s="28" t="s">
        <v>640</v>
      </c>
      <c r="B259" s="115" t="s">
        <v>646</v>
      </c>
      <c r="C259" s="29" t="s">
        <v>647</v>
      </c>
      <c r="D259" s="32" t="s">
        <v>643</v>
      </c>
      <c r="E259" s="9"/>
      <c r="F259" s="18"/>
      <c r="G259" s="40"/>
      <c r="H259" s="9" t="s">
        <v>648</v>
      </c>
    </row>
    <row r="260" spans="1:8" ht="72">
      <c r="A260" s="28" t="s">
        <v>640</v>
      </c>
      <c r="B260" s="115" t="s">
        <v>649</v>
      </c>
      <c r="C260" s="29" t="s">
        <v>650</v>
      </c>
      <c r="D260" s="32" t="s">
        <v>643</v>
      </c>
      <c r="E260" s="9"/>
      <c r="F260" s="18"/>
      <c r="G260" s="40"/>
      <c r="H260" s="9" t="s">
        <v>648</v>
      </c>
    </row>
    <row r="261" spans="1:8" ht="72">
      <c r="A261" s="28" t="s">
        <v>640</v>
      </c>
      <c r="B261" s="115" t="s">
        <v>651</v>
      </c>
      <c r="C261" s="29" t="s">
        <v>652</v>
      </c>
      <c r="D261" s="32" t="s">
        <v>643</v>
      </c>
      <c r="E261" s="9" t="s">
        <v>653</v>
      </c>
      <c r="F261" s="18">
        <v>45968</v>
      </c>
      <c r="G261" s="40"/>
      <c r="H261" s="9"/>
    </row>
    <row r="262" spans="1:8" ht="57.6">
      <c r="A262" s="140" t="s">
        <v>640</v>
      </c>
      <c r="B262" s="141" t="s">
        <v>654</v>
      </c>
      <c r="C262" t="s">
        <v>655</v>
      </c>
      <c r="D262" s="32" t="s">
        <v>643</v>
      </c>
      <c r="E262" s="9" t="s">
        <v>656</v>
      </c>
      <c r="F262" s="18"/>
      <c r="G262" s="40"/>
      <c r="H262" s="9" t="s">
        <v>657</v>
      </c>
    </row>
    <row r="263" spans="1:8">
      <c r="A263" s="142"/>
      <c r="B263" s="143"/>
      <c r="C263" s="29"/>
      <c r="D263" s="32" t="s">
        <v>643</v>
      </c>
      <c r="E263" s="9"/>
      <c r="F263" s="18"/>
      <c r="G263" s="40"/>
      <c r="H263" s="9"/>
    </row>
    <row r="264" spans="1:8" ht="28.8">
      <c r="A264" s="28" t="s">
        <v>640</v>
      </c>
      <c r="B264" s="139" t="s">
        <v>658</v>
      </c>
      <c r="C264" t="s">
        <v>659</v>
      </c>
      <c r="D264" s="32" t="s">
        <v>643</v>
      </c>
      <c r="E264" s="9" t="s">
        <v>653</v>
      </c>
      <c r="F264" s="18">
        <v>45959</v>
      </c>
      <c r="G264" s="40"/>
      <c r="H264" s="9"/>
    </row>
    <row r="265" spans="1:8" ht="86.4">
      <c r="A265" s="28" t="s">
        <v>660</v>
      </c>
      <c r="B265" s="32" t="s">
        <v>661</v>
      </c>
      <c r="C265" s="32" t="s">
        <v>662</v>
      </c>
      <c r="D265" s="32" t="s">
        <v>663</v>
      </c>
      <c r="E265" s="7">
        <v>80</v>
      </c>
      <c r="F265" s="8">
        <v>45972</v>
      </c>
      <c r="G265" s="39" t="s">
        <v>512</v>
      </c>
      <c r="H265" s="7"/>
    </row>
    <row r="266" spans="1:8" ht="57.6">
      <c r="A266" s="28" t="s">
        <v>660</v>
      </c>
      <c r="B266" s="29" t="s">
        <v>664</v>
      </c>
      <c r="C266" s="29" t="s">
        <v>665</v>
      </c>
      <c r="D266" s="29" t="s">
        <v>663</v>
      </c>
      <c r="E266" s="9">
        <v>80</v>
      </c>
      <c r="F266" s="18">
        <v>45961</v>
      </c>
      <c r="G266" s="40" t="s">
        <v>512</v>
      </c>
      <c r="H266" s="9"/>
    </row>
    <row r="267" spans="1:8" ht="72">
      <c r="A267" s="28" t="s">
        <v>660</v>
      </c>
      <c r="B267" s="29" t="s">
        <v>666</v>
      </c>
      <c r="C267" s="29" t="s">
        <v>667</v>
      </c>
      <c r="D267" s="29" t="s">
        <v>663</v>
      </c>
      <c r="E267" s="9">
        <v>85</v>
      </c>
      <c r="F267" s="18">
        <v>45958</v>
      </c>
      <c r="G267" s="40" t="s">
        <v>148</v>
      </c>
      <c r="H267" s="9"/>
    </row>
    <row r="268" spans="1:8" ht="57.6">
      <c r="A268" s="28" t="s">
        <v>660</v>
      </c>
      <c r="B268" s="29" t="s">
        <v>668</v>
      </c>
      <c r="C268" s="29" t="s">
        <v>669</v>
      </c>
      <c r="D268" s="29" t="s">
        <v>663</v>
      </c>
      <c r="E268" s="9">
        <v>56</v>
      </c>
      <c r="F268" s="18">
        <v>45996</v>
      </c>
      <c r="G268" s="40" t="s">
        <v>512</v>
      </c>
      <c r="H268" s="9"/>
    </row>
    <row r="269" spans="1:8" ht="100.8">
      <c r="A269" s="28" t="s">
        <v>660</v>
      </c>
      <c r="B269" s="29" t="s">
        <v>670</v>
      </c>
      <c r="C269" s="29" t="s">
        <v>671</v>
      </c>
      <c r="D269" s="29" t="s">
        <v>663</v>
      </c>
      <c r="E269" s="9">
        <v>12</v>
      </c>
      <c r="F269" s="18">
        <v>45943</v>
      </c>
      <c r="G269" s="40" t="s">
        <v>148</v>
      </c>
      <c r="H269" s="9"/>
    </row>
    <row r="270" spans="1:8" ht="43.2">
      <c r="A270" s="28" t="s">
        <v>660</v>
      </c>
      <c r="B270" s="29" t="s">
        <v>672</v>
      </c>
      <c r="C270" s="29" t="s">
        <v>673</v>
      </c>
      <c r="D270" s="29" t="s">
        <v>663</v>
      </c>
      <c r="E270" s="9">
        <v>33</v>
      </c>
      <c r="F270" s="18">
        <v>45931</v>
      </c>
      <c r="G270" s="40" t="s">
        <v>47</v>
      </c>
      <c r="H270" s="9"/>
    </row>
    <row r="271" spans="1:8" ht="57.6">
      <c r="A271" s="28" t="s">
        <v>660</v>
      </c>
      <c r="B271" s="29" t="s">
        <v>674</v>
      </c>
      <c r="C271" s="29" t="s">
        <v>675</v>
      </c>
      <c r="D271" s="29" t="s">
        <v>663</v>
      </c>
      <c r="E271" s="9">
        <v>21</v>
      </c>
      <c r="F271" s="18">
        <v>45999</v>
      </c>
      <c r="G271" s="40" t="s">
        <v>148</v>
      </c>
      <c r="H271" s="9"/>
    </row>
    <row r="272" spans="1:8" ht="72">
      <c r="A272" s="28" t="s">
        <v>660</v>
      </c>
      <c r="B272" s="29" t="s">
        <v>676</v>
      </c>
      <c r="C272" s="29" t="s">
        <v>677</v>
      </c>
      <c r="D272" s="29"/>
      <c r="E272" s="9">
        <v>14</v>
      </c>
      <c r="F272" s="18">
        <v>45993</v>
      </c>
      <c r="G272" s="40"/>
      <c r="H272" s="9"/>
    </row>
    <row r="273" spans="1:8" ht="72">
      <c r="A273" s="28" t="s">
        <v>660</v>
      </c>
      <c r="B273" s="115" t="s">
        <v>678</v>
      </c>
      <c r="C273" s="115" t="s">
        <v>679</v>
      </c>
      <c r="D273" s="29" t="s">
        <v>663</v>
      </c>
      <c r="E273" s="9">
        <v>14</v>
      </c>
      <c r="F273" s="18">
        <v>45993</v>
      </c>
      <c r="G273" s="40"/>
      <c r="H273" s="9"/>
    </row>
    <row r="274" spans="1:8" ht="72">
      <c r="A274" s="28" t="s">
        <v>660</v>
      </c>
      <c r="B274" s="29" t="s">
        <v>680</v>
      </c>
      <c r="C274" s="29" t="s">
        <v>681</v>
      </c>
      <c r="D274" s="29" t="s">
        <v>663</v>
      </c>
      <c r="E274" s="9">
        <v>81</v>
      </c>
      <c r="F274" s="18">
        <v>45950</v>
      </c>
      <c r="G274" s="40" t="s">
        <v>47</v>
      </c>
      <c r="H274" s="9"/>
    </row>
    <row r="275" spans="1:8" ht="115.2">
      <c r="A275" s="28" t="s">
        <v>660</v>
      </c>
      <c r="B275" s="30" t="s">
        <v>682</v>
      </c>
      <c r="C275" s="30" t="s">
        <v>683</v>
      </c>
      <c r="D275" s="30"/>
      <c r="E275" s="10">
        <v>47</v>
      </c>
      <c r="F275" s="19">
        <v>45943</v>
      </c>
      <c r="G275" s="41"/>
      <c r="H275" s="10"/>
    </row>
    <row r="276" spans="1:8" ht="57.6">
      <c r="A276" s="28" t="s">
        <v>660</v>
      </c>
      <c r="B276" s="115" t="s">
        <v>684</v>
      </c>
      <c r="C276" s="115" t="s">
        <v>685</v>
      </c>
      <c r="D276" s="31"/>
      <c r="E276" s="11">
        <v>14</v>
      </c>
      <c r="F276" s="20">
        <v>45931</v>
      </c>
      <c r="G276" s="42"/>
      <c r="H276" s="11"/>
    </row>
    <row r="277" spans="1:8" ht="72">
      <c r="A277" s="28" t="s">
        <v>660</v>
      </c>
      <c r="B277" s="115" t="s">
        <v>686</v>
      </c>
      <c r="C277" s="115" t="s">
        <v>687</v>
      </c>
      <c r="D277" s="31"/>
      <c r="E277" s="11">
        <v>25</v>
      </c>
      <c r="F277" s="20">
        <v>46001</v>
      </c>
      <c r="G277" s="42"/>
      <c r="H277" s="11"/>
    </row>
    <row r="278" spans="1:8" ht="86.4">
      <c r="A278" s="270" t="s">
        <v>688</v>
      </c>
      <c r="B278" s="271" t="s">
        <v>689</v>
      </c>
      <c r="C278" s="272" t="s">
        <v>690</v>
      </c>
      <c r="D278" s="272" t="s">
        <v>691</v>
      </c>
      <c r="E278" s="272" t="s">
        <v>692</v>
      </c>
      <c r="F278" s="272" t="s">
        <v>693</v>
      </c>
      <c r="G278" s="272" t="s">
        <v>148</v>
      </c>
      <c r="H278" s="272" t="s">
        <v>152</v>
      </c>
    </row>
    <row r="279" spans="1:8" ht="100.8">
      <c r="A279" s="270" t="s">
        <v>688</v>
      </c>
      <c r="B279" s="273" t="s">
        <v>694</v>
      </c>
      <c r="C279" s="274" t="s">
        <v>695</v>
      </c>
      <c r="D279" s="274" t="s">
        <v>691</v>
      </c>
      <c r="E279" s="274" t="s">
        <v>696</v>
      </c>
      <c r="F279" s="274" t="s">
        <v>697</v>
      </c>
      <c r="G279" s="274" t="s">
        <v>148</v>
      </c>
      <c r="H279" s="274" t="s">
        <v>152</v>
      </c>
    </row>
    <row r="280" spans="1:8" ht="100.8">
      <c r="A280" s="270" t="s">
        <v>688</v>
      </c>
      <c r="B280" s="273" t="s">
        <v>698</v>
      </c>
      <c r="C280" s="273" t="s">
        <v>699</v>
      </c>
      <c r="D280" s="273" t="s">
        <v>691</v>
      </c>
      <c r="E280" s="273" t="s">
        <v>700</v>
      </c>
      <c r="F280" s="273" t="s">
        <v>701</v>
      </c>
      <c r="G280" s="273" t="s">
        <v>148</v>
      </c>
      <c r="H280" s="273" t="s">
        <v>152</v>
      </c>
    </row>
    <row r="281" spans="1:8" ht="86.4">
      <c r="A281" s="270" t="s">
        <v>688</v>
      </c>
      <c r="B281" s="273" t="s">
        <v>702</v>
      </c>
      <c r="C281" s="273" t="s">
        <v>703</v>
      </c>
      <c r="D281" s="273" t="s">
        <v>691</v>
      </c>
      <c r="E281" s="273" t="s">
        <v>704</v>
      </c>
      <c r="F281" s="275">
        <v>45849</v>
      </c>
      <c r="G281" s="273" t="s">
        <v>148</v>
      </c>
      <c r="H281" s="273" t="s">
        <v>152</v>
      </c>
    </row>
    <row r="282" spans="1:8" ht="57.6">
      <c r="A282" s="355" t="s">
        <v>688</v>
      </c>
      <c r="B282" s="273" t="s">
        <v>705</v>
      </c>
      <c r="C282" s="273" t="s">
        <v>706</v>
      </c>
      <c r="D282" s="273" t="s">
        <v>691</v>
      </c>
      <c r="E282" s="273" t="s">
        <v>707</v>
      </c>
      <c r="F282" s="273" t="s">
        <v>708</v>
      </c>
      <c r="G282" s="273" t="s">
        <v>148</v>
      </c>
      <c r="H282" s="273" t="s">
        <v>152</v>
      </c>
    </row>
  </sheetData>
  <mergeCells count="2">
    <mergeCell ref="A9:J9"/>
    <mergeCell ref="A10:J10"/>
  </mergeCells>
  <dataValidations count="29">
    <dataValidation type="list" allowBlank="1" showInputMessage="1" showErrorMessage="1" sqref="G188:G277 G96:G182 G26:G87" xr:uid="{F57872F2-C56F-4FDF-886D-8E9094CC0C00}">
      <formula1>"Ejecutado, No ejecutado, En Proceso"</formula1>
    </dataValidation>
    <dataValidation type="date" allowBlank="1" showInputMessage="1" showErrorMessage="1" sqref="F14:F24 H63:H68 F118:F182 H80:H95 F217:F277 H145:H148 F188:F207 E208:E216 H34:H48 F26:F30 F32:F112" xr:uid="{B0E40E6E-7845-4388-826F-E2603CF1A49F}">
      <formula1>45931</formula1>
      <formula2>46022</formula2>
    </dataValidation>
    <dataValidation type="list" allowBlank="1" showInputMessage="1" showErrorMessage="1" sqref="D14:D25" xr:uid="{FF80EDF5-4711-4B12-87B0-321ACE800B5B}">
      <formula1>"Xiomara Calzado, Katy Durán, Virayne Ramos"</formula1>
    </dataValidation>
    <dataValidation type="list" allowBlank="1" showInputMessage="1" showErrorMessage="1" sqref="G14:G24" xr:uid="{CB875F90-0D0E-4E3B-BDEC-554A677BBD6D}">
      <formula1>"Ejecutado, No ejecutado, En proceso "</formula1>
    </dataValidation>
    <dataValidation type="list" allowBlank="1" showInputMessage="1" showErrorMessage="1" sqref="D63:D68 D26:D48" xr:uid="{D9FCD397-ACCA-40FB-8627-6B4E6B7B061C}">
      <formula1>"Ángela Fernández, Carmen Nova, Fransi Ramírez, Grimilda Pascual, Griselda Tejada, Josefina Figuereo, Juana Fernández, Radhames Paulino, Santa Ferreras, Viviana Ortiz, Wendy García, Equipo del NP, Equipo del 1er. Ciclo NP, Equipo del 2do. ciclo NP"</formula1>
    </dataValidation>
    <dataValidation allowBlank="1" showInputMessage="1" showErrorMessage="1" sqref="H33" xr:uid="{FAF9092D-691E-4556-9A77-E65732C5492F}"/>
    <dataValidation type="list" allowBlank="1" showInputMessage="1" showErrorMessage="1" sqref="D49:D57 D257:D264" xr:uid="{5C2FD8CE-F426-4DC9-9270-9228CD036DE5}">
      <formula1>"Ryde Acosta"</formula1>
    </dataValidation>
    <dataValidation type="list" allowBlank="1" showInputMessage="1" showErrorMessage="1" sqref="D58:D62" xr:uid="{0A264560-270E-45E5-BE27-66CE94304079}">
      <formula1>"Dolores Segura, Rosanny Aponte"</formula1>
    </dataValidation>
    <dataValidation type="list" allowBlank="1" showInputMessage="1" showErrorMessage="1" sqref="D69:D72" xr:uid="{BB8EA6D8-802A-413A-AE64-82C29E819682}">
      <formula1>"Xiomaris Leader, Juana Fernández "</formula1>
    </dataValidation>
    <dataValidation type="list" allowBlank="1" showInputMessage="1" showErrorMessage="1" sqref="D73:D79" xr:uid="{37BE592C-E19C-4EDB-A634-E75D83D2783A}">
      <formula1>"Camila Fulcar, Josefina Figuereo "</formula1>
    </dataValidation>
    <dataValidation type="list" allowBlank="1" showInputMessage="1" showErrorMessage="1" sqref="D80:D87" xr:uid="{374CF28D-0724-478F-91E3-9DB7D1CC95DD}">
      <formula1>"Luz del Alba Pastor, Nathalie de la Cruz, Luz del Alba Pastor y Nathalie Cabrera"</formula1>
    </dataValidation>
    <dataValidation type="list" allowBlank="1" showInputMessage="1" showErrorMessage="1" sqref="D88:D95" xr:uid="{95F80756-C604-4DD3-AE87-E1CED0A1D819}">
      <formula1>"Ana Adón, Candido Bierd "</formula1>
    </dataValidation>
    <dataValidation type="list" allowBlank="1" showInputMessage="1" showErrorMessage="1" sqref="G88" xr:uid="{DFDF17E2-0138-473D-A9BF-EC4C678E2336}">
      <formula1>"Ejecutado; No ejecutado; En proceso "</formula1>
    </dataValidation>
    <dataValidation type="list" allowBlank="1" showInputMessage="1" showErrorMessage="1" sqref="G89:G95" xr:uid="{86F2D190-F3F6-4A28-A3BF-4241DE456BA2}">
      <formula1>"Ejecutado, No Ejecutado, En proceso "</formula1>
    </dataValidation>
    <dataValidation type="list" allowBlank="1" showInputMessage="1" showErrorMessage="1" sqref="D96:D112" xr:uid="{DE60963A-02DD-4CBE-A0F0-FAB8A5BA9623}">
      <formula1>"Ydany Pascal, Yudelis García "</formula1>
    </dataValidation>
    <dataValidation type="list" allowBlank="1" showInputMessage="1" showErrorMessage="1" sqref="D113:D117" xr:uid="{897DAB11-B365-437B-8131-6D96CB8B63E0}">
      <formula1>"Santa de Paula"</formula1>
    </dataValidation>
    <dataValidation type="list" allowBlank="1" showInputMessage="1" showErrorMessage="1" sqref="D118:D133" xr:uid="{FBB2E282-5578-4D95-BD5C-FF266A0793D3}">
      <formula1>"Maricela Guerrero "</formula1>
    </dataValidation>
    <dataValidation type="list" allowBlank="1" showInputMessage="1" showErrorMessage="1" sqref="D134:D148" xr:uid="{B003BA51-E604-4FB3-A7CD-5F5BB9F5A76B}">
      <formula1>"Gladybel Lantigua, Pedro Duarte "</formula1>
    </dataValidation>
    <dataValidation type="list" allowBlank="1" showInputMessage="1" showErrorMessage="1" sqref="H165:H166 D149:D166" xr:uid="{EBE5BB75-0535-48C2-BAF1-C86057BC3CA8}">
      <formula1>"Guadalupe Vásquez,  Maridania Ramírez, Wendy Carrasco"</formula1>
    </dataValidation>
    <dataValidation type="list" allowBlank="1" showInputMessage="1" showErrorMessage="1" sqref="D167:D182" xr:uid="{A6665CE6-4A4A-4500-9665-D1BE1E6D7876}">
      <formula1>"Yasafina Concepción"</formula1>
    </dataValidation>
    <dataValidation type="list" allowBlank="1" showInputMessage="1" showErrorMessage="1" sqref="D183:D187" xr:uid="{477E249E-C268-4A90-BAB1-84F607A353D5}">
      <formula1>"Enelsy Tejada "</formula1>
    </dataValidation>
    <dataValidation type="list" allowBlank="1" showInputMessage="1" showErrorMessage="1" sqref="D188:D207" xr:uid="{D682D28B-B1E9-497A-8A33-5B8361596F6C}">
      <formula1>"Ernesto Camilo"</formula1>
    </dataValidation>
    <dataValidation type="list" allowBlank="1" showInputMessage="1" showErrorMessage="1" sqref="D208:D216" xr:uid="{4F09DD47-23E5-405C-BDB5-12172BC10EF2}">
      <formula1>"Mayra Frías"</formula1>
    </dataValidation>
    <dataValidation type="list" allowBlank="1" showInputMessage="1" showErrorMessage="1" sqref="D217:D225" xr:uid="{A7E99140-1E78-4200-A2E9-177427F918CF}">
      <formula1>"Heysin Sosa"</formula1>
    </dataValidation>
    <dataValidation type="list" allowBlank="1" showInputMessage="1" showErrorMessage="1" sqref="D226:D231" xr:uid="{3E7F3B59-0406-4C68-A2EA-09F85910A73A}">
      <formula1>"Melania Heredia "</formula1>
    </dataValidation>
    <dataValidation type="list" allowBlank="1" showInputMessage="1" showErrorMessage="1" sqref="D232:D233" xr:uid="{12701FCC-96CD-4DD5-A5C0-D1D1D4381C62}">
      <formula1>"Juan Almonte, Julio Cesar Mariñez "</formula1>
    </dataValidation>
    <dataValidation type="list" allowBlank="1" showInputMessage="1" showErrorMessage="1" sqref="D234:D248" xr:uid="{797E381C-4AAF-4381-A793-826809EB675D}">
      <formula1>"Gabriela Nina, Soranyuly Morel"</formula1>
    </dataValidation>
    <dataValidation type="list" allowBlank="1" showInputMessage="1" showErrorMessage="1" sqref="D249:D256" xr:uid="{32EC7053-B50F-4C8F-9184-9DA5D05F8ABB}">
      <formula1>"Akira Castillo, Andrea Santana, Isaura Mella, Odalis Durán, Ruth J. Rodríguez"</formula1>
    </dataValidation>
    <dataValidation type="list" allowBlank="1" showInputMessage="1" showErrorMessage="1" sqref="D265:D277" xr:uid="{B7ABE1B3-9FFD-4F3F-A097-BD4DC5856F28}">
      <formula1>"Adalgisa García, Ana Catalina Pérez "</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7EB8B-CAD8-4C01-A56C-37E6633A3C0D}">
  <sheetPr>
    <tabColor rgb="FF00B050"/>
  </sheetPr>
  <dimension ref="A6:J50"/>
  <sheetViews>
    <sheetView topLeftCell="A32" workbookViewId="0">
      <selection activeCell="A41" sqref="A41"/>
    </sheetView>
  </sheetViews>
  <sheetFormatPr baseColWidth="10" defaultColWidth="11.44140625" defaultRowHeight="14.4"/>
  <cols>
    <col min="1" max="1" width="29.44140625" customWidth="1"/>
    <col min="2" max="2" width="60.66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6.664062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4" t="s">
        <v>3</v>
      </c>
      <c r="B13" s="5" t="s">
        <v>4</v>
      </c>
      <c r="C13" s="4" t="s">
        <v>5</v>
      </c>
      <c r="D13" s="5" t="s">
        <v>6</v>
      </c>
      <c r="E13" s="4" t="s">
        <v>7</v>
      </c>
      <c r="F13" s="17" t="s">
        <v>8</v>
      </c>
      <c r="G13" s="292" t="s">
        <v>9</v>
      </c>
      <c r="H13" s="283" t="s">
        <v>710</v>
      </c>
      <c r="I13" s="282" t="s">
        <v>10</v>
      </c>
    </row>
    <row r="14" spans="1:10" ht="47.25" customHeight="1">
      <c r="A14" s="76" t="s">
        <v>42</v>
      </c>
      <c r="B14" s="235" t="s">
        <v>43</v>
      </c>
      <c r="C14" s="235" t="s">
        <v>724</v>
      </c>
      <c r="D14" s="235" t="s">
        <v>45</v>
      </c>
      <c r="E14" s="235" t="s">
        <v>46</v>
      </c>
      <c r="F14" s="243">
        <v>45937</v>
      </c>
      <c r="G14" s="293" t="s">
        <v>47</v>
      </c>
      <c r="H14" s="47"/>
      <c r="I14" s="97" t="s">
        <v>48</v>
      </c>
    </row>
    <row r="15" spans="1:10" ht="45" customHeight="1">
      <c r="A15" s="76" t="s">
        <v>42</v>
      </c>
      <c r="B15" s="234" t="s">
        <v>49</v>
      </c>
      <c r="C15" s="235" t="s">
        <v>50</v>
      </c>
      <c r="D15" s="235" t="s">
        <v>45</v>
      </c>
      <c r="E15" s="235" t="s">
        <v>51</v>
      </c>
      <c r="F15" s="243">
        <v>45947</v>
      </c>
      <c r="G15" s="279"/>
      <c r="H15" s="47"/>
      <c r="I15" s="295" t="s">
        <v>52</v>
      </c>
    </row>
    <row r="16" spans="1:10" ht="46.5" customHeight="1">
      <c r="A16" s="76" t="s">
        <v>42</v>
      </c>
      <c r="B16" s="234" t="s">
        <v>53</v>
      </c>
      <c r="C16" s="235" t="s">
        <v>50</v>
      </c>
      <c r="D16" s="235" t="s">
        <v>45</v>
      </c>
      <c r="E16" s="235" t="s">
        <v>54</v>
      </c>
      <c r="F16" s="244">
        <v>45947</v>
      </c>
      <c r="G16" s="279"/>
      <c r="H16" s="47"/>
      <c r="I16" s="296" t="s">
        <v>55</v>
      </c>
    </row>
    <row r="17" spans="1:9" ht="72.75" customHeight="1">
      <c r="A17" s="76" t="s">
        <v>42</v>
      </c>
      <c r="B17" s="354" t="s">
        <v>56</v>
      </c>
      <c r="C17" s="268" t="s">
        <v>57</v>
      </c>
      <c r="D17" s="235" t="s">
        <v>58</v>
      </c>
      <c r="E17" s="235" t="s">
        <v>51</v>
      </c>
      <c r="F17" s="244">
        <v>45951</v>
      </c>
      <c r="G17" s="279"/>
      <c r="H17" s="47"/>
      <c r="I17" s="296"/>
    </row>
    <row r="18" spans="1:9" ht="45" customHeight="1">
      <c r="A18" s="76" t="s">
        <v>42</v>
      </c>
      <c r="B18" s="269" t="s">
        <v>59</v>
      </c>
      <c r="C18" s="269" t="s">
        <v>57</v>
      </c>
      <c r="D18" s="235" t="s">
        <v>58</v>
      </c>
      <c r="E18" s="269" t="s">
        <v>60</v>
      </c>
      <c r="F18" s="244">
        <v>45957</v>
      </c>
      <c r="G18" s="279"/>
      <c r="H18" s="47"/>
      <c r="I18" s="296"/>
    </row>
    <row r="19" spans="1:9" ht="45" customHeight="1">
      <c r="A19" s="76" t="s">
        <v>42</v>
      </c>
      <c r="B19" s="263" t="s">
        <v>56</v>
      </c>
      <c r="C19" s="263" t="s">
        <v>57</v>
      </c>
      <c r="D19" s="235" t="s">
        <v>58</v>
      </c>
      <c r="E19" s="269" t="s">
        <v>51</v>
      </c>
      <c r="F19" s="263" t="s">
        <v>61</v>
      </c>
      <c r="G19" s="279"/>
      <c r="H19" s="47"/>
      <c r="I19" s="296"/>
    </row>
    <row r="20" spans="1:9" ht="45" customHeight="1">
      <c r="A20" s="76" t="s">
        <v>42</v>
      </c>
      <c r="B20" s="235" t="s">
        <v>62</v>
      </c>
      <c r="C20" s="235" t="s">
        <v>725</v>
      </c>
      <c r="D20" s="235"/>
      <c r="E20" s="268" t="s">
        <v>51</v>
      </c>
      <c r="F20" s="244">
        <v>45986</v>
      </c>
      <c r="G20" s="279"/>
      <c r="H20" s="47"/>
      <c r="I20" s="296"/>
    </row>
    <row r="21" spans="1:9" ht="93.6">
      <c r="A21" s="76" t="s">
        <v>42</v>
      </c>
      <c r="B21" s="235" t="s">
        <v>56</v>
      </c>
      <c r="C21" s="236" t="s">
        <v>63</v>
      </c>
      <c r="D21" s="235" t="s">
        <v>64</v>
      </c>
      <c r="E21" s="235" t="s">
        <v>54</v>
      </c>
      <c r="F21" s="244">
        <v>45951</v>
      </c>
      <c r="G21" s="279"/>
      <c r="H21" s="47"/>
      <c r="I21" s="296" t="s">
        <v>65</v>
      </c>
    </row>
    <row r="22" spans="1:9" ht="72">
      <c r="A22" s="76" t="s">
        <v>42</v>
      </c>
      <c r="B22" s="233" t="s">
        <v>66</v>
      </c>
      <c r="C22" s="29" t="s">
        <v>67</v>
      </c>
      <c r="D22" s="29" t="s">
        <v>68</v>
      </c>
      <c r="E22" s="9" t="s">
        <v>69</v>
      </c>
      <c r="F22" s="18">
        <v>45951</v>
      </c>
      <c r="G22" s="279"/>
      <c r="H22" s="47"/>
      <c r="I22" s="297">
        <v>45951</v>
      </c>
    </row>
    <row r="23" spans="1:9" ht="93">
      <c r="A23" s="76" t="s">
        <v>42</v>
      </c>
      <c r="B23" s="227" t="s">
        <v>70</v>
      </c>
      <c r="C23" s="227" t="s">
        <v>71</v>
      </c>
      <c r="D23" s="29" t="s">
        <v>68</v>
      </c>
      <c r="E23" s="227" t="s">
        <v>72</v>
      </c>
      <c r="F23" s="18">
        <v>45950</v>
      </c>
      <c r="G23" s="279"/>
      <c r="H23" s="47"/>
      <c r="I23" s="297">
        <v>45950</v>
      </c>
    </row>
    <row r="24" spans="1:9" ht="46.5" customHeight="1">
      <c r="A24" s="76" t="s">
        <v>42</v>
      </c>
      <c r="B24" s="227" t="s">
        <v>73</v>
      </c>
      <c r="C24" s="227" t="s">
        <v>74</v>
      </c>
      <c r="D24" s="29" t="s">
        <v>68</v>
      </c>
      <c r="E24" s="9" t="s">
        <v>75</v>
      </c>
      <c r="F24" s="18">
        <v>45982</v>
      </c>
      <c r="G24" s="279"/>
      <c r="H24" s="47"/>
      <c r="I24" s="297">
        <v>45982</v>
      </c>
    </row>
    <row r="25" spans="1:9" ht="86.4">
      <c r="A25" s="76" t="s">
        <v>42</v>
      </c>
      <c r="B25" s="228" t="s">
        <v>76</v>
      </c>
      <c r="C25" s="29" t="s">
        <v>77</v>
      </c>
      <c r="D25" s="29" t="s">
        <v>78</v>
      </c>
      <c r="E25" s="9" t="s">
        <v>79</v>
      </c>
      <c r="F25" s="18"/>
      <c r="G25" s="279"/>
      <c r="H25" s="47"/>
      <c r="I25" s="297"/>
    </row>
    <row r="26" spans="1:9" ht="43.2">
      <c r="A26" s="76" t="s">
        <v>42</v>
      </c>
      <c r="B26" s="239" t="s">
        <v>80</v>
      </c>
      <c r="C26" s="239" t="s">
        <v>81</v>
      </c>
      <c r="D26" s="239" t="s">
        <v>64</v>
      </c>
      <c r="E26" s="240"/>
      <c r="F26" s="241">
        <v>45960</v>
      </c>
      <c r="G26" s="294"/>
      <c r="H26" s="47"/>
      <c r="I26" s="298">
        <v>45960</v>
      </c>
    </row>
    <row r="27" spans="1:9" ht="28.2">
      <c r="A27" s="76" t="s">
        <v>42</v>
      </c>
      <c r="B27" s="231" t="s">
        <v>82</v>
      </c>
      <c r="C27" s="29"/>
      <c r="D27" s="29" t="s">
        <v>83</v>
      </c>
      <c r="E27" s="9"/>
      <c r="F27" s="18"/>
      <c r="G27" s="279"/>
      <c r="H27" s="47"/>
      <c r="I27" s="297"/>
    </row>
    <row r="28" spans="1:9" ht="43.2">
      <c r="A28" s="76" t="s">
        <v>42</v>
      </c>
      <c r="B28" s="229" t="s">
        <v>84</v>
      </c>
      <c r="C28" s="29"/>
      <c r="D28" s="29" t="s">
        <v>85</v>
      </c>
      <c r="E28" s="9"/>
      <c r="F28" s="18"/>
      <c r="G28" s="279"/>
      <c r="H28" s="47"/>
      <c r="I28" s="297"/>
    </row>
    <row r="29" spans="1:9" ht="86.4">
      <c r="A29" s="76" t="s">
        <v>42</v>
      </c>
      <c r="B29" s="230" t="s">
        <v>86</v>
      </c>
      <c r="C29" s="29" t="s">
        <v>87</v>
      </c>
      <c r="D29" s="29" t="s">
        <v>83</v>
      </c>
      <c r="E29" s="9" t="s">
        <v>88</v>
      </c>
      <c r="F29" s="18">
        <v>45938</v>
      </c>
      <c r="G29" s="279"/>
      <c r="H29" s="47"/>
      <c r="I29" s="297">
        <v>45938</v>
      </c>
    </row>
    <row r="30" spans="1:9" ht="72">
      <c r="A30" s="76" t="s">
        <v>42</v>
      </c>
      <c r="B30" s="29" t="s">
        <v>89</v>
      </c>
      <c r="C30" s="29" t="s">
        <v>90</v>
      </c>
      <c r="D30" s="29" t="s">
        <v>83</v>
      </c>
      <c r="E30" s="9" t="s">
        <v>91</v>
      </c>
      <c r="F30" s="18"/>
      <c r="G30" s="279"/>
      <c r="H30" s="47"/>
      <c r="I30" s="297"/>
    </row>
    <row r="31" spans="1:9" ht="43.2">
      <c r="A31" s="76" t="s">
        <v>42</v>
      </c>
      <c r="B31" s="29" t="s">
        <v>92</v>
      </c>
      <c r="C31" s="29" t="s">
        <v>93</v>
      </c>
      <c r="D31" s="29" t="s">
        <v>94</v>
      </c>
      <c r="E31" s="9"/>
      <c r="F31" s="18"/>
      <c r="G31" s="279"/>
      <c r="H31" s="47"/>
      <c r="I31" s="297"/>
    </row>
    <row r="32" spans="1:9" ht="15.75" customHeight="1">
      <c r="A32" s="76" t="s">
        <v>42</v>
      </c>
      <c r="B32" s="29" t="s">
        <v>95</v>
      </c>
      <c r="C32" s="29" t="s">
        <v>96</v>
      </c>
      <c r="D32" s="29" t="s">
        <v>97</v>
      </c>
      <c r="E32" s="9" t="s">
        <v>98</v>
      </c>
      <c r="F32" s="18"/>
      <c r="G32" s="279"/>
      <c r="H32" s="47"/>
      <c r="I32" s="297"/>
    </row>
    <row r="33" spans="1:9" ht="14.1" customHeight="1">
      <c r="A33" s="76" t="s">
        <v>42</v>
      </c>
      <c r="B33" s="29" t="s">
        <v>99</v>
      </c>
      <c r="C33" s="29" t="s">
        <v>100</v>
      </c>
      <c r="D33" s="29" t="s">
        <v>97</v>
      </c>
      <c r="E33" s="9" t="s">
        <v>101</v>
      </c>
      <c r="F33" s="18"/>
      <c r="G33" s="279"/>
      <c r="H33" s="47"/>
      <c r="I33" s="297"/>
    </row>
    <row r="34" spans="1:9" ht="15.6" customHeight="1">
      <c r="A34" s="76" t="s">
        <v>42</v>
      </c>
      <c r="B34" s="29" t="s">
        <v>102</v>
      </c>
      <c r="C34" s="29" t="s">
        <v>726</v>
      </c>
      <c r="D34" s="29" t="s">
        <v>104</v>
      </c>
      <c r="E34" s="9" t="s">
        <v>105</v>
      </c>
      <c r="F34" s="18"/>
      <c r="G34" s="279"/>
      <c r="H34" s="47"/>
      <c r="I34" s="297"/>
    </row>
    <row r="35" spans="1:9" ht="43.2">
      <c r="A35" s="76" t="s">
        <v>42</v>
      </c>
      <c r="B35" s="29" t="s">
        <v>106</v>
      </c>
      <c r="C35" s="29" t="s">
        <v>107</v>
      </c>
      <c r="D35" s="29" t="s">
        <v>104</v>
      </c>
      <c r="E35" s="9" t="s">
        <v>108</v>
      </c>
      <c r="F35" s="18"/>
      <c r="G35" s="279"/>
      <c r="H35" s="47"/>
      <c r="I35" s="297"/>
    </row>
    <row r="36" spans="1:9" ht="14.1" customHeight="1">
      <c r="A36" s="76" t="s">
        <v>42</v>
      </c>
      <c r="B36" s="29" t="s">
        <v>109</v>
      </c>
      <c r="C36" s="29" t="s">
        <v>110</v>
      </c>
      <c r="D36" s="29" t="s">
        <v>83</v>
      </c>
      <c r="E36" s="9" t="s">
        <v>111</v>
      </c>
      <c r="F36" s="18"/>
      <c r="G36" s="279"/>
      <c r="H36" s="47"/>
      <c r="I36" s="297"/>
    </row>
    <row r="37" spans="1:9" ht="14.1" customHeight="1"/>
    <row r="38" spans="1:9" ht="14.1" customHeight="1"/>
    <row r="40" spans="1:9" ht="14.1" customHeight="1"/>
    <row r="42" spans="1:9" ht="21">
      <c r="B42" s="12"/>
      <c r="C42" s="13" t="s">
        <v>711</v>
      </c>
      <c r="D42" s="14"/>
      <c r="E42" s="14"/>
      <c r="F42" s="12"/>
      <c r="G42" s="12"/>
      <c r="H42" s="12"/>
    </row>
    <row r="44" spans="1:9" ht="15.6">
      <c r="A44" s="357" t="s">
        <v>3</v>
      </c>
      <c r="B44" s="358" t="s">
        <v>712</v>
      </c>
      <c r="C44" s="359" t="s">
        <v>713</v>
      </c>
      <c r="D44" s="361" t="s">
        <v>714</v>
      </c>
      <c r="E44" s="362"/>
      <c r="F44" s="362"/>
      <c r="G44" s="363"/>
      <c r="H44" s="364" t="s">
        <v>715</v>
      </c>
    </row>
    <row r="45" spans="1:9" ht="46.8">
      <c r="A45" s="357"/>
      <c r="B45" s="358"/>
      <c r="C45" s="360"/>
      <c r="D45" s="15" t="s">
        <v>716</v>
      </c>
      <c r="E45" s="15" t="s">
        <v>717</v>
      </c>
      <c r="F45" s="16" t="s">
        <v>718</v>
      </c>
      <c r="G45" s="16" t="s">
        <v>719</v>
      </c>
      <c r="H45" s="365"/>
    </row>
    <row r="46" spans="1:9">
      <c r="A46" s="43" t="s">
        <v>42</v>
      </c>
      <c r="B46" s="44" t="s">
        <v>17</v>
      </c>
      <c r="C46" s="105"/>
      <c r="D46" s="105"/>
      <c r="E46" s="105"/>
      <c r="F46" s="105"/>
      <c r="G46" s="105"/>
      <c r="H46" s="106"/>
    </row>
    <row r="47" spans="1:9">
      <c r="A47" s="43" t="s">
        <v>42</v>
      </c>
      <c r="B47" s="44" t="s">
        <v>720</v>
      </c>
      <c r="C47" s="107"/>
      <c r="D47" s="107"/>
      <c r="E47" s="107"/>
      <c r="F47" s="107"/>
      <c r="G47" s="107"/>
      <c r="H47" s="106"/>
    </row>
    <row r="48" spans="1:9">
      <c r="A48" s="43" t="s">
        <v>42</v>
      </c>
      <c r="B48" s="44" t="s">
        <v>721</v>
      </c>
      <c r="C48" s="109"/>
      <c r="D48" s="109"/>
      <c r="E48" s="109"/>
      <c r="F48" s="109"/>
      <c r="G48" s="109"/>
      <c r="H48" s="106"/>
    </row>
    <row r="49" spans="1:8">
      <c r="A49" s="43" t="s">
        <v>42</v>
      </c>
      <c r="B49" s="44"/>
      <c r="C49" s="110"/>
      <c r="D49" s="110"/>
      <c r="E49" s="110"/>
      <c r="F49" s="110"/>
      <c r="G49" s="110"/>
      <c r="H49" s="106"/>
    </row>
    <row r="50" spans="1:8">
      <c r="A50" s="45" t="s">
        <v>722</v>
      </c>
      <c r="B50" s="46"/>
      <c r="C50" s="107">
        <f t="shared" ref="C50:H50" si="0">SUM(C46:C49)</f>
        <v>0</v>
      </c>
      <c r="D50" s="108">
        <f t="shared" si="0"/>
        <v>0</v>
      </c>
      <c r="E50" s="108">
        <f t="shared" si="0"/>
        <v>0</v>
      </c>
      <c r="F50" s="108">
        <f t="shared" si="0"/>
        <v>0</v>
      </c>
      <c r="G50" s="108">
        <f t="shared" si="0"/>
        <v>0</v>
      </c>
      <c r="H50" s="108">
        <f t="shared" si="0"/>
        <v>0</v>
      </c>
    </row>
  </sheetData>
  <mergeCells count="7">
    <mergeCell ref="A9:J9"/>
    <mergeCell ref="A10:J10"/>
    <mergeCell ref="A44:A45"/>
    <mergeCell ref="B44:B45"/>
    <mergeCell ref="C44:C45"/>
    <mergeCell ref="D44:G44"/>
    <mergeCell ref="H44:H45"/>
  </mergeCells>
  <dataValidations count="4">
    <dataValidation allowBlank="1" showInputMessage="1" showErrorMessage="1" sqref="I21" xr:uid="{58AF33A5-3CD9-4472-8100-777C294D4941}"/>
    <dataValidation type="date" allowBlank="1" showInputMessage="1" showErrorMessage="1" sqref="I22:I36 F14:F18 F20:F36" xr:uid="{588C30BC-E7B3-46AC-AB3D-4A88214FE8AA}">
      <formula1>45931</formula1>
      <formula2>46022</formula2>
    </dataValidation>
    <dataValidation type="list" allowBlank="1" showInputMessage="1" showErrorMessage="1" sqref="G14:G36" xr:uid="{EA0C757E-690C-44C5-9699-2E6A1AC6A448}">
      <formula1>"Ejecutado, No ejecutado, En Proceso"</formula1>
    </dataValidation>
    <dataValidation type="list" allowBlank="1" showInputMessage="1" showErrorMessage="1" sqref="D14:D36" xr:uid="{10B23DFF-C7C5-4ED8-8E25-518B6C439485}">
      <formula1>"Ángela Fernández, Carmen Nova, Fransi Ramírez, Grimilda Pascual, Griselda Tejada, Josefina Figuereo, Juana Fernández, Radhames Paulino, Santa Ferreras, Viviana Ortiz, Wendy García, Equipo del NP, Equipo del 1er. Ciclo NP, Equipo del 2do. ciclo NP"</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EA1B9-93B0-43E9-ADCC-06B70C0D6C9D}">
  <sheetPr>
    <tabColor theme="6" tint="0.39997558519241921"/>
  </sheetPr>
  <dimension ref="B6:K34"/>
  <sheetViews>
    <sheetView topLeftCell="A2" workbookViewId="0">
      <selection activeCell="B14" sqref="B14"/>
    </sheetView>
  </sheetViews>
  <sheetFormatPr baseColWidth="10" defaultColWidth="11.44140625" defaultRowHeight="14.4"/>
  <cols>
    <col min="2" max="2" width="29.44140625" customWidth="1"/>
    <col min="3" max="3" width="40.44140625" customWidth="1"/>
    <col min="4" max="4" width="33.88671875" customWidth="1"/>
    <col min="5" max="5" width="21.88671875" customWidth="1"/>
    <col min="6" max="6" width="19.6640625" customWidth="1"/>
    <col min="7" max="7" width="20.88671875" customWidth="1"/>
    <col min="8" max="8" width="17.44140625" customWidth="1"/>
    <col min="9" max="9" width="27.109375" customWidth="1"/>
    <col min="10" max="10" width="26.109375" customWidth="1"/>
    <col min="11" max="11" width="34.44140625" customWidth="1"/>
  </cols>
  <sheetData>
    <row r="6" spans="2:11">
      <c r="C6" s="1"/>
      <c r="E6" s="1"/>
      <c r="G6" s="1"/>
    </row>
    <row r="7" spans="2:11">
      <c r="C7" s="1"/>
      <c r="E7" s="1"/>
      <c r="G7" s="1"/>
    </row>
    <row r="8" spans="2:11">
      <c r="C8" s="1"/>
      <c r="E8" s="1"/>
      <c r="G8" s="1"/>
    </row>
    <row r="9" spans="2:11">
      <c r="B9" s="356" t="s">
        <v>0</v>
      </c>
      <c r="C9" s="356"/>
      <c r="D9" s="356"/>
      <c r="E9" s="356"/>
      <c r="F9" s="356"/>
      <c r="G9" s="356"/>
      <c r="H9" s="356"/>
      <c r="I9" s="356"/>
      <c r="J9" s="356"/>
      <c r="K9" s="356"/>
    </row>
    <row r="10" spans="2:11">
      <c r="B10" s="356" t="s">
        <v>727</v>
      </c>
      <c r="C10" s="356"/>
      <c r="D10" s="356"/>
      <c r="E10" s="356"/>
      <c r="F10" s="356"/>
      <c r="G10" s="356"/>
      <c r="H10" s="356"/>
      <c r="I10" s="356"/>
      <c r="J10" s="356"/>
      <c r="K10" s="356"/>
    </row>
    <row r="11" spans="2:11">
      <c r="B11" s="2" t="s">
        <v>709</v>
      </c>
      <c r="C11" s="3"/>
      <c r="D11" s="2"/>
      <c r="E11" s="1"/>
      <c r="G11" s="1"/>
    </row>
    <row r="12" spans="2:11">
      <c r="C12" s="1"/>
      <c r="E12" s="1"/>
      <c r="G12" s="1"/>
    </row>
    <row r="13" spans="2:11" ht="43.2">
      <c r="B13" s="26" t="s">
        <v>3</v>
      </c>
      <c r="C13" s="27" t="s">
        <v>4</v>
      </c>
      <c r="D13" s="26" t="s">
        <v>5</v>
      </c>
      <c r="E13" s="27" t="s">
        <v>6</v>
      </c>
      <c r="F13" s="4" t="s">
        <v>7</v>
      </c>
      <c r="G13" s="17" t="s">
        <v>8</v>
      </c>
      <c r="H13" s="292" t="s">
        <v>9</v>
      </c>
      <c r="I13" s="283" t="s">
        <v>710</v>
      </c>
      <c r="J13" s="282" t="s">
        <v>10</v>
      </c>
    </row>
    <row r="14" spans="2:11" ht="144">
      <c r="B14" s="28" t="s">
        <v>112</v>
      </c>
      <c r="C14" s="29" t="s">
        <v>113</v>
      </c>
      <c r="D14" s="32" t="s">
        <v>114</v>
      </c>
      <c r="E14" s="32"/>
      <c r="F14" s="7" t="s">
        <v>115</v>
      </c>
      <c r="G14" s="8">
        <v>45976</v>
      </c>
      <c r="H14" s="278"/>
      <c r="I14" s="47"/>
      <c r="J14" s="96" t="s">
        <v>116</v>
      </c>
    </row>
    <row r="15" spans="2:11" ht="86.4">
      <c r="B15" s="28" t="s">
        <v>112</v>
      </c>
      <c r="C15" t="s">
        <v>117</v>
      </c>
      <c r="D15" s="29" t="s">
        <v>118</v>
      </c>
      <c r="E15" s="29"/>
      <c r="F15" s="9" t="s">
        <v>119</v>
      </c>
      <c r="G15" s="18">
        <v>45954</v>
      </c>
      <c r="H15" s="279"/>
      <c r="I15" s="47"/>
      <c r="J15" s="97"/>
    </row>
    <row r="16" spans="2:11" ht="43.2">
      <c r="B16" s="28" t="s">
        <v>112</v>
      </c>
      <c r="C16" s="29" t="s">
        <v>120</v>
      </c>
      <c r="D16" s="29" t="s">
        <v>121</v>
      </c>
      <c r="E16" s="29"/>
      <c r="F16" s="9" t="s">
        <v>122</v>
      </c>
      <c r="G16" s="18">
        <v>45958</v>
      </c>
      <c r="H16" s="279"/>
      <c r="I16" s="47"/>
      <c r="J16" s="97"/>
    </row>
    <row r="17" spans="2:10" ht="100.8">
      <c r="B17" s="28" t="s">
        <v>112</v>
      </c>
      <c r="C17" s="29" t="s">
        <v>123</v>
      </c>
      <c r="D17" s="29" t="s">
        <v>124</v>
      </c>
      <c r="E17" s="29"/>
      <c r="F17" s="9" t="s">
        <v>125</v>
      </c>
      <c r="G17" s="18">
        <v>45991</v>
      </c>
      <c r="H17" s="279"/>
      <c r="I17" s="47"/>
      <c r="J17" s="97"/>
    </row>
    <row r="18" spans="2:10" ht="43.2">
      <c r="B18" s="28" t="s">
        <v>112</v>
      </c>
      <c r="C18" s="29" t="s">
        <v>126</v>
      </c>
      <c r="D18" s="29" t="s">
        <v>127</v>
      </c>
      <c r="E18" s="29"/>
      <c r="F18" s="9" t="s">
        <v>128</v>
      </c>
      <c r="G18" s="18">
        <v>45993</v>
      </c>
      <c r="H18" s="279"/>
      <c r="I18" s="47"/>
      <c r="J18" s="97"/>
    </row>
    <row r="19" spans="2:10" ht="72">
      <c r="B19" s="28" t="s">
        <v>112</v>
      </c>
      <c r="C19" s="29" t="s">
        <v>129</v>
      </c>
      <c r="D19" s="29" t="s">
        <v>130</v>
      </c>
      <c r="E19" s="29"/>
      <c r="F19" s="9" t="s">
        <v>131</v>
      </c>
      <c r="G19" s="18">
        <v>45943</v>
      </c>
      <c r="H19" s="279"/>
      <c r="I19" s="47"/>
      <c r="J19" s="97"/>
    </row>
    <row r="20" spans="2:10" ht="43.2">
      <c r="B20" s="28" t="s">
        <v>112</v>
      </c>
      <c r="C20" s="29" t="s">
        <v>132</v>
      </c>
      <c r="D20" s="29" t="s">
        <v>133</v>
      </c>
      <c r="E20" s="29"/>
      <c r="F20" s="9">
        <v>6</v>
      </c>
      <c r="G20" s="18"/>
      <c r="H20" s="279"/>
      <c r="I20" s="47"/>
      <c r="J20" s="97"/>
    </row>
    <row r="21" spans="2:10" ht="57.6">
      <c r="B21" s="28" t="s">
        <v>112</v>
      </c>
      <c r="C21" s="29" t="s">
        <v>134</v>
      </c>
      <c r="D21" s="29" t="s">
        <v>135</v>
      </c>
      <c r="E21" s="29"/>
      <c r="F21" s="9">
        <v>6</v>
      </c>
      <c r="G21" s="18"/>
      <c r="H21" s="279"/>
      <c r="I21" s="47"/>
      <c r="J21" s="97"/>
    </row>
    <row r="22" spans="2:10" ht="86.4">
      <c r="B22" s="28" t="s">
        <v>112</v>
      </c>
      <c r="C22" s="29" t="s">
        <v>136</v>
      </c>
      <c r="D22" s="29" t="s">
        <v>137</v>
      </c>
      <c r="E22" s="29"/>
      <c r="F22" s="9">
        <v>35</v>
      </c>
      <c r="G22" s="18">
        <v>46002</v>
      </c>
      <c r="H22" s="279"/>
      <c r="I22" s="47"/>
      <c r="J22" s="97"/>
    </row>
    <row r="26" spans="2:10" ht="21">
      <c r="B26" s="12"/>
      <c r="C26" s="13" t="s">
        <v>711</v>
      </c>
      <c r="D26" s="14"/>
      <c r="E26" s="14"/>
      <c r="F26" s="12"/>
      <c r="G26" s="12"/>
      <c r="H26" s="12"/>
    </row>
    <row r="28" spans="2:10" ht="15.6">
      <c r="B28" s="369" t="s">
        <v>3</v>
      </c>
      <c r="C28" s="366" t="s">
        <v>712</v>
      </c>
      <c r="D28" s="364" t="s">
        <v>713</v>
      </c>
      <c r="E28" s="361" t="s">
        <v>714</v>
      </c>
      <c r="F28" s="362"/>
      <c r="G28" s="362"/>
      <c r="H28" s="363"/>
      <c r="I28" s="364" t="s">
        <v>715</v>
      </c>
    </row>
    <row r="29" spans="2:10" ht="46.8">
      <c r="B29" s="370"/>
      <c r="C29" s="367"/>
      <c r="D29" s="368"/>
      <c r="E29" s="15" t="s">
        <v>716</v>
      </c>
      <c r="F29" s="15" t="s">
        <v>717</v>
      </c>
      <c r="G29" s="16" t="s">
        <v>718</v>
      </c>
      <c r="H29" s="16" t="s">
        <v>719</v>
      </c>
      <c r="I29" s="365"/>
    </row>
    <row r="30" spans="2:10">
      <c r="B30" s="28" t="s">
        <v>112</v>
      </c>
      <c r="C30" s="33" t="s">
        <v>17</v>
      </c>
      <c r="D30" s="105"/>
      <c r="E30" s="105"/>
      <c r="F30" s="105"/>
      <c r="G30" s="105"/>
      <c r="H30" s="105"/>
      <c r="I30" s="106"/>
    </row>
    <row r="31" spans="2:10">
      <c r="B31" s="28" t="s">
        <v>112</v>
      </c>
      <c r="C31" s="34" t="s">
        <v>720</v>
      </c>
      <c r="D31" s="107"/>
      <c r="E31" s="107"/>
      <c r="F31" s="107"/>
      <c r="G31" s="107"/>
      <c r="H31" s="107"/>
      <c r="I31" s="106"/>
    </row>
    <row r="32" spans="2:10">
      <c r="B32" s="28" t="s">
        <v>112</v>
      </c>
      <c r="C32" s="35" t="s">
        <v>721</v>
      </c>
      <c r="D32" s="109"/>
      <c r="E32" s="109"/>
      <c r="F32" s="109"/>
      <c r="G32" s="109"/>
      <c r="H32" s="109"/>
      <c r="I32" s="106"/>
    </row>
    <row r="33" spans="2:9">
      <c r="B33" s="36" t="s">
        <v>112</v>
      </c>
      <c r="C33" s="21"/>
      <c r="D33" s="110"/>
      <c r="E33" s="110"/>
      <c r="F33" s="110"/>
      <c r="G33" s="110"/>
      <c r="H33" s="110"/>
      <c r="I33" s="106"/>
    </row>
    <row r="34" spans="2:9">
      <c r="B34" s="37" t="s">
        <v>722</v>
      </c>
      <c r="C34" s="38"/>
      <c r="D34" s="107">
        <f t="shared" ref="D34:I34" si="0">SUM(D30:D33)</f>
        <v>0</v>
      </c>
      <c r="E34" s="108">
        <f t="shared" si="0"/>
        <v>0</v>
      </c>
      <c r="F34" s="108">
        <f t="shared" si="0"/>
        <v>0</v>
      </c>
      <c r="G34" s="108">
        <f t="shared" si="0"/>
        <v>0</v>
      </c>
      <c r="H34" s="108">
        <f t="shared" si="0"/>
        <v>0</v>
      </c>
      <c r="I34" s="108">
        <f t="shared" si="0"/>
        <v>0</v>
      </c>
    </row>
  </sheetData>
  <protectedRanges>
    <protectedRange sqref="B13:J13" name="Rango1"/>
  </protectedRanges>
  <mergeCells count="7">
    <mergeCell ref="B9:K9"/>
    <mergeCell ref="B10:K10"/>
    <mergeCell ref="C28:C29"/>
    <mergeCell ref="D28:D29"/>
    <mergeCell ref="E28:H28"/>
    <mergeCell ref="I28:I29"/>
    <mergeCell ref="B28:B29"/>
  </mergeCells>
  <dataValidations count="3">
    <dataValidation type="list" allowBlank="1" showInputMessage="1" showErrorMessage="1" sqref="H14:H22" xr:uid="{1F4D2EDF-324F-436E-B4B1-8A770EE10455}">
      <formula1>"Ejecutado, No ejecutado, En Proceso"</formula1>
    </dataValidation>
    <dataValidation type="date" allowBlank="1" showInputMessage="1" showErrorMessage="1" sqref="G14:G22" xr:uid="{CAB6E612-E47D-4500-8429-91C870D13103}">
      <formula1>45931</formula1>
      <formula2>46022</formula2>
    </dataValidation>
    <dataValidation type="list" allowBlank="1" showInputMessage="1" showErrorMessage="1" sqref="E14:E22" xr:uid="{951ACB56-8BD8-47F9-8C19-6A742415A33B}">
      <formula1>"Ryde Acosta"</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B9CF6-313D-436C-950F-674E9873898C}">
  <sheetPr>
    <tabColor rgb="FF00B050"/>
  </sheetPr>
  <dimension ref="A6:J35"/>
  <sheetViews>
    <sheetView topLeftCell="G11" workbookViewId="0">
      <selection activeCell="M13" sqref="M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8.109375" customWidth="1"/>
    <col min="9" max="9" width="26.55468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92" t="s">
        <v>9</v>
      </c>
      <c r="H13" s="283" t="s">
        <v>710</v>
      </c>
      <c r="I13" s="282" t="s">
        <v>10</v>
      </c>
    </row>
    <row r="14" spans="1:10" ht="115.2">
      <c r="A14" s="148" t="s">
        <v>138</v>
      </c>
      <c r="B14" s="56" t="s">
        <v>139</v>
      </c>
      <c r="C14" s="56" t="s">
        <v>140</v>
      </c>
      <c r="D14" s="57" t="s">
        <v>141</v>
      </c>
      <c r="E14" s="152" t="s">
        <v>142</v>
      </c>
      <c r="F14" s="153">
        <v>45931</v>
      </c>
      <c r="G14" s="300" t="s">
        <v>47</v>
      </c>
      <c r="H14" s="47"/>
      <c r="I14" s="303" t="s">
        <v>143</v>
      </c>
      <c r="J14" s="49"/>
    </row>
    <row r="15" spans="1:10" s="55" customFormat="1" ht="57.6">
      <c r="A15" s="148" t="s">
        <v>138</v>
      </c>
      <c r="B15" s="58" t="s">
        <v>144</v>
      </c>
      <c r="C15" s="58" t="s">
        <v>145</v>
      </c>
      <c r="D15" s="150" t="s">
        <v>146</v>
      </c>
      <c r="E15" s="149" t="s">
        <v>147</v>
      </c>
      <c r="F15" s="58"/>
      <c r="G15" s="301" t="s">
        <v>148</v>
      </c>
      <c r="H15" s="299"/>
      <c r="I15" s="304"/>
      <c r="J15" s="54"/>
    </row>
    <row r="16" spans="1:10" ht="158.4">
      <c r="A16" s="148" t="s">
        <v>138</v>
      </c>
      <c r="B16" s="147" t="s">
        <v>149</v>
      </c>
      <c r="C16" s="50" t="s">
        <v>150</v>
      </c>
      <c r="D16" s="50" t="s">
        <v>141</v>
      </c>
      <c r="E16" s="53" t="s">
        <v>151</v>
      </c>
      <c r="F16" s="51"/>
      <c r="G16" s="302" t="s">
        <v>148</v>
      </c>
      <c r="H16" s="47"/>
      <c r="I16" s="305" t="s">
        <v>152</v>
      </c>
      <c r="J16" s="49"/>
    </row>
    <row r="17" spans="1:10" ht="72">
      <c r="A17" s="148" t="s">
        <v>138</v>
      </c>
      <c r="B17" s="50" t="s">
        <v>153</v>
      </c>
      <c r="C17" s="147" t="s">
        <v>154</v>
      </c>
      <c r="D17" s="50" t="s">
        <v>146</v>
      </c>
      <c r="E17" s="52" t="s">
        <v>155</v>
      </c>
      <c r="F17" s="50"/>
      <c r="G17" s="302" t="s">
        <v>148</v>
      </c>
      <c r="H17" s="47"/>
      <c r="I17" s="303" t="s">
        <v>152</v>
      </c>
      <c r="J17" s="49"/>
    </row>
    <row r="18" spans="1:10" ht="100.8">
      <c r="A18" s="148" t="s">
        <v>138</v>
      </c>
      <c r="B18" s="50" t="s">
        <v>156</v>
      </c>
      <c r="C18" s="50" t="s">
        <v>157</v>
      </c>
      <c r="D18" s="50" t="s">
        <v>141</v>
      </c>
      <c r="E18" s="147" t="s">
        <v>158</v>
      </c>
      <c r="F18" s="50"/>
      <c r="G18" s="302" t="s">
        <v>148</v>
      </c>
      <c r="H18" s="47"/>
      <c r="I18" s="303" t="s">
        <v>152</v>
      </c>
      <c r="J18" s="49"/>
    </row>
    <row r="27" spans="1:10" ht="21">
      <c r="A27" s="12"/>
      <c r="B27" s="13" t="s">
        <v>711</v>
      </c>
      <c r="C27" s="14"/>
      <c r="D27" s="14"/>
      <c r="E27" s="12"/>
      <c r="F27" s="12"/>
      <c r="G27" s="12"/>
    </row>
    <row r="29" spans="1:10" ht="15.6">
      <c r="A29" s="369" t="s">
        <v>3</v>
      </c>
      <c r="B29" s="366" t="s">
        <v>712</v>
      </c>
      <c r="C29" s="364" t="s">
        <v>713</v>
      </c>
      <c r="D29" s="361" t="s">
        <v>714</v>
      </c>
      <c r="E29" s="362"/>
      <c r="F29" s="362"/>
      <c r="G29" s="363"/>
      <c r="H29" s="364" t="s">
        <v>715</v>
      </c>
    </row>
    <row r="30" spans="1:10" ht="46.8">
      <c r="A30" s="370"/>
      <c r="B30" s="367"/>
      <c r="C30" s="368"/>
      <c r="D30" s="15" t="s">
        <v>716</v>
      </c>
      <c r="E30" s="15" t="s">
        <v>717</v>
      </c>
      <c r="F30" s="16" t="s">
        <v>718</v>
      </c>
      <c r="G30" s="16" t="s">
        <v>719</v>
      </c>
      <c r="H30" s="365"/>
    </row>
    <row r="31" spans="1:10">
      <c r="A31" s="6" t="s">
        <v>728</v>
      </c>
      <c r="B31" s="33" t="s">
        <v>17</v>
      </c>
      <c r="C31" s="105"/>
      <c r="D31" s="105"/>
      <c r="E31" s="105"/>
      <c r="F31" s="105"/>
      <c r="G31" s="105"/>
      <c r="H31" s="106"/>
    </row>
    <row r="32" spans="1:10">
      <c r="A32" s="6" t="s">
        <v>728</v>
      </c>
      <c r="B32" s="34" t="s">
        <v>720</v>
      </c>
      <c r="C32" s="107"/>
      <c r="D32" s="107"/>
      <c r="E32" s="107"/>
      <c r="F32" s="107"/>
      <c r="G32" s="107"/>
      <c r="H32" s="106"/>
    </row>
    <row r="33" spans="1:8">
      <c r="A33" s="6" t="s">
        <v>728</v>
      </c>
      <c r="B33" s="35" t="s">
        <v>721</v>
      </c>
      <c r="C33" s="109"/>
      <c r="D33" s="109"/>
      <c r="E33" s="109"/>
      <c r="F33" s="109"/>
      <c r="G33" s="109"/>
      <c r="H33" s="106"/>
    </row>
    <row r="34" spans="1:8">
      <c r="A34" s="6" t="s">
        <v>728</v>
      </c>
      <c r="B34" s="21"/>
      <c r="C34" s="110"/>
      <c r="D34" s="110"/>
      <c r="E34" s="110"/>
      <c r="F34" s="110"/>
      <c r="G34" s="110"/>
      <c r="H34" s="106"/>
    </row>
    <row r="35" spans="1:8">
      <c r="A35" s="37" t="s">
        <v>722</v>
      </c>
      <c r="B35" s="38"/>
      <c r="C35" s="107">
        <f t="shared" ref="C35:H35" si="0">SUM(C31:C34)</f>
        <v>0</v>
      </c>
      <c r="D35" s="108">
        <f t="shared" si="0"/>
        <v>0</v>
      </c>
      <c r="E35" s="108">
        <f t="shared" si="0"/>
        <v>0</v>
      </c>
      <c r="F35" s="108">
        <f t="shared" si="0"/>
        <v>0</v>
      </c>
      <c r="G35" s="108">
        <f t="shared" si="0"/>
        <v>0</v>
      </c>
      <c r="H35" s="108">
        <f t="shared" si="0"/>
        <v>0</v>
      </c>
    </row>
  </sheetData>
  <protectedRanges>
    <protectedRange sqref="H13" name="Rango1"/>
  </protectedRanges>
  <mergeCells count="7">
    <mergeCell ref="A9:J9"/>
    <mergeCell ref="A10:J10"/>
    <mergeCell ref="A29:A30"/>
    <mergeCell ref="B29:B30"/>
    <mergeCell ref="C29:C30"/>
    <mergeCell ref="D29:G29"/>
    <mergeCell ref="H29:H30"/>
  </mergeCells>
  <dataValidations count="3">
    <dataValidation type="list" allowBlank="1" showInputMessage="1" showErrorMessage="1" sqref="G14:G18" xr:uid="{019038B0-CDED-4B37-9F5A-A3FA04541D77}">
      <formula1>"Ejecutado, No ejecutado, En Proceso"</formula1>
    </dataValidation>
    <dataValidation type="date" allowBlank="1" showInputMessage="1" showErrorMessage="1" sqref="F14:F18" xr:uid="{D4442083-EEDA-4662-BE4B-D9BA57B58148}">
      <formula1>45931</formula1>
      <formula2>46022</formula2>
    </dataValidation>
    <dataValidation type="list" allowBlank="1" showInputMessage="1" showErrorMessage="1" sqref="D14:D18" xr:uid="{EBF92981-80DD-492D-9989-82B3DAC17918}">
      <formula1>"Dolores Segura, Rosanny Aponte"</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03CBF-FAE1-43CA-9393-F678C8FFC921}">
  <sheetPr>
    <tabColor rgb="FF00B050"/>
  </sheetPr>
  <dimension ref="A6:J37"/>
  <sheetViews>
    <sheetView topLeftCell="E1" workbookViewId="0">
      <selection activeCell="K14" sqref="K14"/>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6.109375" customWidth="1"/>
    <col min="10" max="10" width="34.44140625" customWidth="1"/>
  </cols>
  <sheetData>
    <row r="6" spans="1:10">
      <c r="B6" s="1"/>
      <c r="D6" s="1"/>
      <c r="F6" s="1"/>
    </row>
    <row r="7" spans="1:10">
      <c r="B7" s="1"/>
      <c r="D7" s="1"/>
      <c r="F7" s="1"/>
    </row>
    <row r="8" spans="1:10">
      <c r="B8" s="1"/>
      <c r="D8" s="1"/>
      <c r="F8" s="1"/>
    </row>
    <row r="9" spans="1:10">
      <c r="A9" s="356" t="s">
        <v>729</v>
      </c>
      <c r="B9" s="356"/>
      <c r="C9" s="356"/>
      <c r="D9" s="356"/>
      <c r="E9" s="356"/>
      <c r="F9" s="356"/>
      <c r="G9" s="356"/>
      <c r="H9" s="356"/>
      <c r="I9" s="356"/>
      <c r="J9" s="356"/>
    </row>
    <row r="10" spans="1:10">
      <c r="A10" s="356" t="s">
        <v>0</v>
      </c>
      <c r="B10" s="356"/>
      <c r="C10" s="356"/>
      <c r="D10" s="356"/>
      <c r="E10" s="356"/>
      <c r="F10" s="356"/>
      <c r="G10" s="356"/>
      <c r="H10" s="356"/>
      <c r="I10" s="356"/>
      <c r="J10" s="356"/>
    </row>
    <row r="11" spans="1:10">
      <c r="A11" s="356" t="s">
        <v>723</v>
      </c>
      <c r="B11" s="356"/>
      <c r="C11" s="356"/>
      <c r="D11" s="356"/>
      <c r="E11" s="356"/>
      <c r="F11" s="356"/>
      <c r="G11" s="356"/>
      <c r="H11" s="356"/>
      <c r="I11" s="356"/>
      <c r="J11" s="356"/>
    </row>
    <row r="12" spans="1:10">
      <c r="A12" s="2" t="s">
        <v>709</v>
      </c>
      <c r="B12" s="3"/>
      <c r="C12" s="2"/>
      <c r="D12" s="1"/>
      <c r="F12" s="1"/>
    </row>
    <row r="13" spans="1:10">
      <c r="B13" s="1"/>
      <c r="D13" s="1"/>
      <c r="F13" s="1"/>
    </row>
    <row r="14" spans="1:10" ht="43.2">
      <c r="A14" s="26" t="s">
        <v>3</v>
      </c>
      <c r="B14" s="27" t="s">
        <v>730</v>
      </c>
      <c r="C14" s="26" t="s">
        <v>5</v>
      </c>
      <c r="D14" s="27" t="s">
        <v>6</v>
      </c>
      <c r="E14" s="4" t="s">
        <v>7</v>
      </c>
      <c r="F14" s="17" t="s">
        <v>8</v>
      </c>
      <c r="G14" s="292" t="s">
        <v>9</v>
      </c>
      <c r="H14" s="283" t="s">
        <v>710</v>
      </c>
      <c r="I14" s="282" t="s">
        <v>10</v>
      </c>
    </row>
    <row r="15" spans="1:10" ht="93.6">
      <c r="A15" s="76" t="s">
        <v>159</v>
      </c>
      <c r="B15" s="147" t="s">
        <v>160</v>
      </c>
      <c r="C15" s="155" t="s">
        <v>161</v>
      </c>
      <c r="D15" s="147" t="s">
        <v>162</v>
      </c>
      <c r="E15" s="147" t="s">
        <v>163</v>
      </c>
      <c r="F15" s="156">
        <v>45972</v>
      </c>
      <c r="G15" s="306" t="s">
        <v>152</v>
      </c>
      <c r="H15" s="47"/>
      <c r="I15" s="308" t="s">
        <v>152</v>
      </c>
    </row>
    <row r="16" spans="1:10" ht="100.8">
      <c r="A16" s="76" t="s">
        <v>159</v>
      </c>
      <c r="B16" s="157" t="s">
        <v>164</v>
      </c>
      <c r="C16" s="157" t="s">
        <v>165</v>
      </c>
      <c r="D16" s="147" t="s">
        <v>162</v>
      </c>
      <c r="E16" s="158" t="s">
        <v>166</v>
      </c>
      <c r="F16" s="156">
        <v>45931</v>
      </c>
      <c r="G16" s="306" t="s">
        <v>167</v>
      </c>
      <c r="H16" s="47"/>
      <c r="I16" s="308" t="s">
        <v>168</v>
      </c>
    </row>
    <row r="17" spans="1:9" ht="93.6">
      <c r="A17" s="76" t="s">
        <v>159</v>
      </c>
      <c r="B17" s="147" t="s">
        <v>169</v>
      </c>
      <c r="C17" s="155" t="s">
        <v>170</v>
      </c>
      <c r="D17" s="147" t="s">
        <v>162</v>
      </c>
      <c r="E17" s="147" t="s">
        <v>171</v>
      </c>
      <c r="F17" s="156">
        <v>45982</v>
      </c>
      <c r="G17" s="306" t="s">
        <v>152</v>
      </c>
      <c r="H17" s="47"/>
      <c r="I17" s="304" t="s">
        <v>172</v>
      </c>
    </row>
    <row r="18" spans="1:9" ht="172.8">
      <c r="A18" s="76" t="s">
        <v>159</v>
      </c>
      <c r="B18" s="116" t="s">
        <v>173</v>
      </c>
      <c r="C18" s="116" t="s">
        <v>174</v>
      </c>
      <c r="D18" s="147" t="s">
        <v>162</v>
      </c>
      <c r="E18" s="147" t="s">
        <v>175</v>
      </c>
      <c r="F18" s="156">
        <v>45979</v>
      </c>
      <c r="G18" s="306" t="s">
        <v>152</v>
      </c>
      <c r="H18" s="47"/>
      <c r="I18" s="308" t="s">
        <v>152</v>
      </c>
    </row>
    <row r="19" spans="1:9" ht="100.8">
      <c r="A19" s="76" t="s">
        <v>159</v>
      </c>
      <c r="B19" s="157" t="s">
        <v>176</v>
      </c>
      <c r="C19" s="157" t="s">
        <v>176</v>
      </c>
      <c r="D19" s="147" t="s">
        <v>162</v>
      </c>
      <c r="E19" s="147" t="s">
        <v>175</v>
      </c>
      <c r="F19" s="156">
        <v>46004</v>
      </c>
      <c r="G19" s="307" t="s">
        <v>152</v>
      </c>
      <c r="H19" s="47"/>
      <c r="I19" s="274" t="s">
        <v>152</v>
      </c>
    </row>
    <row r="20" spans="1:9" ht="100.8">
      <c r="A20" s="76" t="s">
        <v>159</v>
      </c>
      <c r="B20" s="116" t="s">
        <v>177</v>
      </c>
      <c r="C20" s="116" t="s">
        <v>177</v>
      </c>
      <c r="D20" s="147" t="s">
        <v>162</v>
      </c>
      <c r="E20" s="147" t="s">
        <v>178</v>
      </c>
      <c r="F20" s="156">
        <v>45994</v>
      </c>
      <c r="G20" s="307" t="s">
        <v>152</v>
      </c>
      <c r="H20" s="47"/>
      <c r="I20" s="274" t="s">
        <v>152</v>
      </c>
    </row>
    <row r="29" spans="1:9" ht="21">
      <c r="A29" s="12"/>
      <c r="B29" s="13" t="s">
        <v>711</v>
      </c>
      <c r="C29" s="14"/>
      <c r="D29" s="14"/>
      <c r="E29" s="12"/>
      <c r="F29" s="12"/>
      <c r="G29" s="12"/>
    </row>
    <row r="31" spans="1:9" ht="15.6">
      <c r="A31" s="369" t="s">
        <v>3</v>
      </c>
      <c r="B31" s="366" t="s">
        <v>712</v>
      </c>
      <c r="C31" s="364" t="s">
        <v>713</v>
      </c>
      <c r="D31" s="361" t="s">
        <v>714</v>
      </c>
      <c r="E31" s="362"/>
      <c r="F31" s="362"/>
      <c r="G31" s="363"/>
      <c r="H31" s="364" t="s">
        <v>715</v>
      </c>
    </row>
    <row r="32" spans="1:9" ht="46.8">
      <c r="A32" s="370"/>
      <c r="B32" s="367"/>
      <c r="C32" s="368"/>
      <c r="D32" s="15" t="s">
        <v>716</v>
      </c>
      <c r="E32" s="15" t="s">
        <v>717</v>
      </c>
      <c r="F32" s="16" t="s">
        <v>718</v>
      </c>
      <c r="G32" s="16" t="s">
        <v>719</v>
      </c>
      <c r="H32" s="365"/>
    </row>
    <row r="33" spans="1:8">
      <c r="A33" s="6" t="s">
        <v>159</v>
      </c>
      <c r="B33" s="33" t="s">
        <v>17</v>
      </c>
      <c r="C33" s="105"/>
      <c r="D33" s="105"/>
      <c r="E33" s="105"/>
      <c r="F33" s="105"/>
      <c r="G33" s="105"/>
      <c r="H33" s="106"/>
    </row>
    <row r="34" spans="1:8">
      <c r="A34" s="6" t="s">
        <v>159</v>
      </c>
      <c r="B34" s="34" t="s">
        <v>720</v>
      </c>
      <c r="C34" s="107"/>
      <c r="D34" s="107"/>
      <c r="E34" s="107"/>
      <c r="F34" s="107"/>
      <c r="G34" s="107"/>
      <c r="H34" s="106"/>
    </row>
    <row r="35" spans="1:8">
      <c r="A35" s="6" t="s">
        <v>159</v>
      </c>
      <c r="B35" s="35" t="s">
        <v>721</v>
      </c>
      <c r="C35" s="109"/>
      <c r="D35" s="109"/>
      <c r="E35" s="109"/>
      <c r="F35" s="109"/>
      <c r="G35" s="109"/>
      <c r="H35" s="106"/>
    </row>
    <row r="36" spans="1:8">
      <c r="A36" s="6" t="s">
        <v>159</v>
      </c>
      <c r="B36" s="21"/>
      <c r="C36" s="110"/>
      <c r="D36" s="110"/>
      <c r="E36" s="110"/>
      <c r="F36" s="110"/>
      <c r="G36" s="110"/>
      <c r="H36" s="106"/>
    </row>
    <row r="37" spans="1:8">
      <c r="A37" s="37" t="s">
        <v>722</v>
      </c>
      <c r="B37" s="38"/>
      <c r="C37" s="107">
        <f t="shared" ref="C37:H37" si="0">SUM(C33:C36)</f>
        <v>0</v>
      </c>
      <c r="D37" s="108">
        <f t="shared" si="0"/>
        <v>0</v>
      </c>
      <c r="E37" s="108">
        <f t="shared" si="0"/>
        <v>0</v>
      </c>
      <c r="F37" s="108">
        <f t="shared" si="0"/>
        <v>0</v>
      </c>
      <c r="G37" s="108">
        <f t="shared" si="0"/>
        <v>0</v>
      </c>
      <c r="H37" s="108">
        <f t="shared" si="0"/>
        <v>0</v>
      </c>
    </row>
  </sheetData>
  <protectedRanges>
    <protectedRange sqref="H14" name="Rango1"/>
  </protectedRanges>
  <mergeCells count="8">
    <mergeCell ref="A9:J9"/>
    <mergeCell ref="A10:J10"/>
    <mergeCell ref="A11:J11"/>
    <mergeCell ref="A31:A32"/>
    <mergeCell ref="B31:B32"/>
    <mergeCell ref="C31:C32"/>
    <mergeCell ref="D31:G31"/>
    <mergeCell ref="H31:H3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C3E8-3133-49DF-9614-D4F89CC462EF}">
  <sheetPr>
    <tabColor rgb="FF00B050"/>
  </sheetPr>
  <dimension ref="A6:J35"/>
  <sheetViews>
    <sheetView workbookViewId="0">
      <selection activeCell="H13" sqref="H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8"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727</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84" t="s">
        <v>9</v>
      </c>
      <c r="H13" s="283" t="s">
        <v>710</v>
      </c>
      <c r="I13" s="282" t="s">
        <v>10</v>
      </c>
    </row>
    <row r="14" spans="1:10" ht="72">
      <c r="A14" s="28" t="s">
        <v>179</v>
      </c>
      <c r="B14" s="32" t="s">
        <v>180</v>
      </c>
      <c r="C14" s="32" t="s">
        <v>181</v>
      </c>
      <c r="D14" s="32" t="s">
        <v>182</v>
      </c>
      <c r="E14" s="7" t="s">
        <v>183</v>
      </c>
      <c r="F14" s="8"/>
      <c r="G14" s="285"/>
      <c r="H14" s="47"/>
      <c r="I14" s="96"/>
    </row>
    <row r="15" spans="1:10" ht="57.6">
      <c r="A15" s="28" t="s">
        <v>179</v>
      </c>
      <c r="B15" s="29" t="s">
        <v>184</v>
      </c>
      <c r="C15" s="29" t="s">
        <v>185</v>
      </c>
      <c r="D15" s="29" t="s">
        <v>186</v>
      </c>
      <c r="E15" s="9">
        <v>10</v>
      </c>
      <c r="F15" s="18"/>
      <c r="G15" s="286"/>
      <c r="H15" s="47"/>
      <c r="I15" s="97"/>
    </row>
    <row r="16" spans="1:10" ht="72">
      <c r="A16" s="28" t="s">
        <v>179</v>
      </c>
      <c r="B16" s="29" t="s">
        <v>184</v>
      </c>
      <c r="C16" s="29" t="s">
        <v>187</v>
      </c>
      <c r="D16" s="29" t="s">
        <v>188</v>
      </c>
      <c r="E16" s="9">
        <v>16</v>
      </c>
      <c r="F16" s="18"/>
      <c r="G16" s="286"/>
      <c r="H16" s="47"/>
      <c r="I16" s="97"/>
    </row>
    <row r="17" spans="1:9" ht="72">
      <c r="A17" s="28" t="s">
        <v>179</v>
      </c>
      <c r="B17" s="29" t="s">
        <v>189</v>
      </c>
      <c r="C17" s="29" t="s">
        <v>190</v>
      </c>
      <c r="D17" s="29" t="s">
        <v>186</v>
      </c>
      <c r="E17" s="9"/>
      <c r="F17" s="18"/>
      <c r="G17" s="286"/>
      <c r="H17" s="47"/>
      <c r="I17" s="97"/>
    </row>
    <row r="18" spans="1:9" ht="28.8">
      <c r="A18" s="28" t="s">
        <v>179</v>
      </c>
      <c r="B18" s="29"/>
      <c r="C18" s="29"/>
      <c r="D18" s="29"/>
      <c r="E18" s="9"/>
      <c r="F18" s="18"/>
      <c r="G18" s="286"/>
      <c r="H18" s="47"/>
      <c r="I18" s="97"/>
    </row>
    <row r="27" spans="1:9" ht="21">
      <c r="A27" s="12"/>
      <c r="B27" s="13" t="s">
        <v>711</v>
      </c>
      <c r="C27" s="14"/>
      <c r="D27" s="14"/>
      <c r="E27" s="12"/>
      <c r="F27" s="12"/>
      <c r="G27" s="12"/>
    </row>
    <row r="29" spans="1:9" ht="15.6">
      <c r="A29" s="369" t="s">
        <v>3</v>
      </c>
      <c r="B29" s="366" t="s">
        <v>712</v>
      </c>
      <c r="C29" s="364" t="s">
        <v>713</v>
      </c>
      <c r="D29" s="361" t="s">
        <v>714</v>
      </c>
      <c r="E29" s="362"/>
      <c r="F29" s="362"/>
      <c r="G29" s="363"/>
      <c r="H29" s="364" t="s">
        <v>715</v>
      </c>
    </row>
    <row r="30" spans="1:9" ht="46.8">
      <c r="A30" s="370"/>
      <c r="B30" s="367"/>
      <c r="C30" s="368"/>
      <c r="D30" s="15" t="s">
        <v>716</v>
      </c>
      <c r="E30" s="15" t="s">
        <v>717</v>
      </c>
      <c r="F30" s="16" t="s">
        <v>718</v>
      </c>
      <c r="G30" s="16" t="s">
        <v>719</v>
      </c>
      <c r="H30" s="365"/>
    </row>
    <row r="31" spans="1:9" ht="28.8">
      <c r="A31" s="6" t="s">
        <v>179</v>
      </c>
      <c r="B31" s="33" t="s">
        <v>17</v>
      </c>
      <c r="C31" s="105"/>
      <c r="D31" s="105"/>
      <c r="E31" s="105"/>
      <c r="F31" s="105"/>
      <c r="G31" s="105"/>
      <c r="H31" s="106"/>
    </row>
    <row r="32" spans="1:9" ht="28.8">
      <c r="A32" s="6" t="s">
        <v>179</v>
      </c>
      <c r="B32" s="34" t="s">
        <v>720</v>
      </c>
      <c r="C32" s="107"/>
      <c r="D32" s="107"/>
      <c r="E32" s="107"/>
      <c r="F32" s="107"/>
      <c r="G32" s="107"/>
      <c r="H32" s="106"/>
    </row>
    <row r="33" spans="1:8" ht="28.8">
      <c r="A33" s="6" t="s">
        <v>179</v>
      </c>
      <c r="B33" s="35" t="s">
        <v>721</v>
      </c>
      <c r="C33" s="109"/>
      <c r="D33" s="109"/>
      <c r="E33" s="109"/>
      <c r="F33" s="109"/>
      <c r="G33" s="109"/>
      <c r="H33" s="106"/>
    </row>
    <row r="34" spans="1:8" ht="28.8">
      <c r="A34" s="6" t="s">
        <v>179</v>
      </c>
      <c r="B34" s="21"/>
      <c r="C34" s="110"/>
      <c r="D34" s="110"/>
      <c r="E34" s="110"/>
      <c r="F34" s="110"/>
      <c r="G34" s="110"/>
      <c r="H34" s="106"/>
    </row>
    <row r="35" spans="1:8">
      <c r="A35" s="37" t="s">
        <v>722</v>
      </c>
      <c r="B35" s="38"/>
      <c r="C35" s="107">
        <f t="shared" ref="C35:H35" si="0">SUM(C31:C34)</f>
        <v>0</v>
      </c>
      <c r="D35" s="108">
        <f t="shared" si="0"/>
        <v>0</v>
      </c>
      <c r="E35" s="108">
        <f t="shared" si="0"/>
        <v>0</v>
      </c>
      <c r="F35" s="108">
        <f t="shared" si="0"/>
        <v>0</v>
      </c>
      <c r="G35" s="108">
        <f t="shared" si="0"/>
        <v>0</v>
      </c>
      <c r="H35" s="108">
        <f t="shared" si="0"/>
        <v>0</v>
      </c>
    </row>
  </sheetData>
  <protectedRanges>
    <protectedRange sqref="H13" name="Rango1"/>
  </protectedRanges>
  <mergeCells count="7">
    <mergeCell ref="A9:J9"/>
    <mergeCell ref="A10:J10"/>
    <mergeCell ref="A29:A30"/>
    <mergeCell ref="B29:B30"/>
    <mergeCell ref="C29:C30"/>
    <mergeCell ref="D29:G29"/>
    <mergeCell ref="H29:H30"/>
  </mergeCells>
  <dataValidations count="3">
    <dataValidation type="list" allowBlank="1" showInputMessage="1" showErrorMessage="1" sqref="G14:G18" xr:uid="{FFAECD79-88A9-4CEF-8498-DE49D23BC243}">
      <formula1>"Ejecutado, No ejecutado, En Proceso"</formula1>
    </dataValidation>
    <dataValidation type="date" allowBlank="1" showInputMessage="1" showErrorMessage="1" sqref="F14:F18" xr:uid="{01F16D1C-7783-4E2C-99B7-3D41F4161F7E}">
      <formula1>45931</formula1>
      <formula2>46022</formula2>
    </dataValidation>
    <dataValidation type="list" allowBlank="1" showInputMessage="1" showErrorMessage="1" sqref="D14:D18" xr:uid="{D69EF9C0-2228-4E4D-B571-3E3C25387264}">
      <formula1>"Xiomaris Leader, Juana Fernández "</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27F13-3AFF-44C8-87AB-1E8C0E28BCDE}">
  <sheetPr>
    <tabColor rgb="FF00B050"/>
  </sheetPr>
  <dimension ref="A6:J38"/>
  <sheetViews>
    <sheetView topLeftCell="C1" workbookViewId="0">
      <selection activeCell="D14" sqref="D14"/>
    </sheetView>
  </sheetViews>
  <sheetFormatPr baseColWidth="10" defaultColWidth="11.44140625" defaultRowHeight="14.4"/>
  <cols>
    <col min="1" max="1" width="29.44140625" customWidth="1"/>
    <col min="2" max="2" width="40.44140625" customWidth="1"/>
    <col min="3" max="3" width="45.6640625" customWidth="1"/>
    <col min="4" max="4" width="21.88671875" customWidth="1"/>
    <col min="5" max="5" width="19.6640625" customWidth="1"/>
    <col min="6" max="6" width="20.88671875" customWidth="1"/>
    <col min="7" max="7" width="17.44140625" customWidth="1"/>
    <col min="8" max="8" width="27.109375" customWidth="1"/>
    <col min="9" max="9" width="28.1093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727</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84" t="s">
        <v>9</v>
      </c>
      <c r="H13" s="283" t="s">
        <v>710</v>
      </c>
      <c r="I13" s="282" t="s">
        <v>10</v>
      </c>
    </row>
    <row r="14" spans="1:10" ht="85.5" customHeight="1">
      <c r="A14" s="28" t="s">
        <v>191</v>
      </c>
      <c r="B14" s="32" t="s">
        <v>192</v>
      </c>
      <c r="C14" s="211" t="s">
        <v>193</v>
      </c>
      <c r="D14" s="32" t="s">
        <v>194</v>
      </c>
      <c r="E14" s="7" t="s">
        <v>195</v>
      </c>
      <c r="F14" s="8">
        <v>45994</v>
      </c>
      <c r="G14" s="285"/>
      <c r="H14" s="47"/>
      <c r="I14" s="96"/>
    </row>
    <row r="15" spans="1:10" ht="43.2">
      <c r="A15" s="28" t="s">
        <v>191</v>
      </c>
      <c r="B15" s="209" t="s">
        <v>196</v>
      </c>
      <c r="C15" s="212" t="s">
        <v>197</v>
      </c>
      <c r="D15" s="209" t="s">
        <v>194</v>
      </c>
      <c r="E15" s="208" t="s">
        <v>198</v>
      </c>
      <c r="F15" s="18">
        <v>45974</v>
      </c>
      <c r="G15" s="286"/>
      <c r="H15" s="47"/>
      <c r="I15" s="97"/>
    </row>
    <row r="16" spans="1:10" ht="43.2">
      <c r="A16" s="28" t="s">
        <v>191</v>
      </c>
      <c r="B16" s="29" t="s">
        <v>199</v>
      </c>
      <c r="C16" s="29" t="s">
        <v>200</v>
      </c>
      <c r="D16" s="209" t="s">
        <v>194</v>
      </c>
      <c r="E16" s="9" t="s">
        <v>201</v>
      </c>
      <c r="F16" s="18">
        <v>45951</v>
      </c>
      <c r="G16" s="286"/>
      <c r="H16" s="47"/>
      <c r="I16" s="97"/>
    </row>
    <row r="17" spans="1:9" ht="72">
      <c r="A17" s="28" t="s">
        <v>191</v>
      </c>
      <c r="B17" s="210" t="s">
        <v>202</v>
      </c>
      <c r="C17" s="213" t="s">
        <v>203</v>
      </c>
      <c r="D17" s="29" t="s">
        <v>194</v>
      </c>
      <c r="E17" s="9" t="s">
        <v>204</v>
      </c>
      <c r="F17" s="18"/>
      <c r="G17" s="286"/>
      <c r="H17" s="47"/>
      <c r="I17" s="97"/>
    </row>
    <row r="18" spans="1:9" ht="55.8">
      <c r="A18" s="28" t="s">
        <v>191</v>
      </c>
      <c r="B18" s="29" t="s">
        <v>205</v>
      </c>
      <c r="C18" s="214" t="s">
        <v>206</v>
      </c>
      <c r="D18" s="29" t="s">
        <v>194</v>
      </c>
      <c r="E18" s="9" t="s">
        <v>207</v>
      </c>
      <c r="F18" s="18">
        <v>45958</v>
      </c>
      <c r="G18" s="286"/>
      <c r="H18" s="47"/>
      <c r="I18" s="97"/>
    </row>
    <row r="19" spans="1:9" ht="43.2">
      <c r="A19" s="28" t="s">
        <v>191</v>
      </c>
      <c r="B19" s="30" t="s">
        <v>208</v>
      </c>
      <c r="C19" s="215" t="s">
        <v>209</v>
      </c>
      <c r="D19" s="29" t="s">
        <v>194</v>
      </c>
      <c r="E19" s="9" t="s">
        <v>210</v>
      </c>
      <c r="F19" s="18">
        <v>45966</v>
      </c>
      <c r="G19" s="286"/>
      <c r="H19" s="47"/>
      <c r="I19" s="97"/>
    </row>
    <row r="20" spans="1:9" ht="43.2">
      <c r="A20" s="76" t="s">
        <v>191</v>
      </c>
      <c r="B20" s="245" t="s">
        <v>211</v>
      </c>
      <c r="C20" s="245" t="s">
        <v>212</v>
      </c>
      <c r="D20" s="71" t="s">
        <v>194</v>
      </c>
      <c r="E20" s="9" t="s">
        <v>213</v>
      </c>
      <c r="F20" s="18"/>
      <c r="G20" s="286"/>
      <c r="H20" s="47"/>
      <c r="I20" s="97"/>
    </row>
    <row r="30" spans="1:9" ht="21">
      <c r="A30" s="12"/>
      <c r="B30" s="13" t="s">
        <v>711</v>
      </c>
      <c r="C30" s="14"/>
      <c r="D30" s="14"/>
      <c r="E30" s="12"/>
      <c r="F30" s="12"/>
      <c r="G30" s="12"/>
    </row>
    <row r="32" spans="1:9" ht="15.6">
      <c r="A32" s="369" t="s">
        <v>3</v>
      </c>
      <c r="B32" s="366" t="s">
        <v>712</v>
      </c>
      <c r="C32" s="364" t="s">
        <v>713</v>
      </c>
      <c r="D32" s="361" t="s">
        <v>714</v>
      </c>
      <c r="E32" s="362"/>
      <c r="F32" s="362"/>
      <c r="G32" s="363"/>
      <c r="H32" s="364" t="s">
        <v>715</v>
      </c>
    </row>
    <row r="33" spans="1:8" ht="46.8">
      <c r="A33" s="370"/>
      <c r="B33" s="367"/>
      <c r="C33" s="368"/>
      <c r="D33" s="15" t="s">
        <v>716</v>
      </c>
      <c r="E33" s="15" t="s">
        <v>717</v>
      </c>
      <c r="F33" s="16" t="s">
        <v>718</v>
      </c>
      <c r="G33" s="16" t="s">
        <v>719</v>
      </c>
      <c r="H33" s="365"/>
    </row>
    <row r="34" spans="1:8" ht="28.8">
      <c r="A34" s="6" t="s">
        <v>191</v>
      </c>
      <c r="B34" s="33" t="s">
        <v>17</v>
      </c>
      <c r="C34" s="105"/>
      <c r="D34" s="105"/>
      <c r="E34" s="105"/>
      <c r="F34" s="105"/>
      <c r="G34" s="105"/>
      <c r="H34" s="106"/>
    </row>
    <row r="35" spans="1:8" ht="28.8">
      <c r="A35" s="6" t="s">
        <v>191</v>
      </c>
      <c r="B35" s="34" t="s">
        <v>720</v>
      </c>
      <c r="C35" s="107"/>
      <c r="D35" s="107"/>
      <c r="E35" s="107"/>
      <c r="F35" s="107"/>
      <c r="G35" s="107"/>
      <c r="H35" s="106"/>
    </row>
    <row r="36" spans="1:8" ht="28.8">
      <c r="A36" s="6" t="s">
        <v>191</v>
      </c>
      <c r="B36" s="35" t="s">
        <v>721</v>
      </c>
      <c r="C36" s="109"/>
      <c r="D36" s="109"/>
      <c r="E36" s="109"/>
      <c r="F36" s="109"/>
      <c r="G36" s="109"/>
      <c r="H36" s="106"/>
    </row>
    <row r="37" spans="1:8" ht="28.8">
      <c r="A37" s="6" t="s">
        <v>191</v>
      </c>
      <c r="B37" s="21"/>
      <c r="C37" s="110"/>
      <c r="D37" s="110"/>
      <c r="E37" s="110"/>
      <c r="F37" s="110"/>
      <c r="G37" s="110"/>
      <c r="H37" s="106"/>
    </row>
    <row r="38" spans="1:8">
      <c r="A38" s="37" t="s">
        <v>722</v>
      </c>
      <c r="B38" s="38"/>
      <c r="C38" s="107">
        <f t="shared" ref="C38:H38" si="0">SUM(C34:C37)</f>
        <v>0</v>
      </c>
      <c r="D38" s="108">
        <f t="shared" si="0"/>
        <v>0</v>
      </c>
      <c r="E38" s="108">
        <f t="shared" si="0"/>
        <v>0</v>
      </c>
      <c r="F38" s="108">
        <f t="shared" si="0"/>
        <v>0</v>
      </c>
      <c r="G38" s="108">
        <f t="shared" si="0"/>
        <v>0</v>
      </c>
      <c r="H38" s="108">
        <f t="shared" si="0"/>
        <v>0</v>
      </c>
    </row>
  </sheetData>
  <protectedRanges>
    <protectedRange sqref="H13" name="Rango1"/>
  </protectedRanges>
  <mergeCells count="7">
    <mergeCell ref="A9:J9"/>
    <mergeCell ref="A10:J10"/>
    <mergeCell ref="A32:A33"/>
    <mergeCell ref="B32:B33"/>
    <mergeCell ref="C32:C33"/>
    <mergeCell ref="D32:G32"/>
    <mergeCell ref="H32:H33"/>
  </mergeCells>
  <dataValidations count="3">
    <dataValidation type="list" allowBlank="1" showInputMessage="1" showErrorMessage="1" sqref="G14:G20" xr:uid="{06F56DAD-9E9B-485F-B487-C510247592D9}">
      <formula1>"Ejecutado, No ejecutado, En Proceso"</formula1>
    </dataValidation>
    <dataValidation type="date" allowBlank="1" showInputMessage="1" showErrorMessage="1" sqref="F14:F20" xr:uid="{3E537C5C-9148-4879-9110-A77CE7C732C4}">
      <formula1>45931</formula1>
      <formula2>46022</formula2>
    </dataValidation>
    <dataValidation type="list" allowBlank="1" showInputMessage="1" showErrorMessage="1" sqref="D14:D20" xr:uid="{C966BEB9-3F46-4B94-8D1E-51441B9292E5}">
      <formula1>"Camila Fulcar, Josefina Figuereo "</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B1C69-06D1-4EDB-947D-227A69D5F6A8}">
  <sheetPr>
    <tabColor rgb="FF00B050"/>
  </sheetPr>
  <dimension ref="A6:J35"/>
  <sheetViews>
    <sheetView workbookViewId="0">
      <selection activeCell="H15" sqref="H15:H21"/>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2.55468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84" t="s">
        <v>9</v>
      </c>
      <c r="H13" s="283" t="s">
        <v>710</v>
      </c>
      <c r="I13" s="282" t="s">
        <v>10</v>
      </c>
    </row>
    <row r="14" spans="1:10" ht="86.4">
      <c r="A14" s="28" t="s">
        <v>214</v>
      </c>
      <c r="B14" s="32" t="s">
        <v>215</v>
      </c>
      <c r="C14" s="32" t="s">
        <v>216</v>
      </c>
      <c r="D14" s="32" t="s">
        <v>217</v>
      </c>
      <c r="E14" s="7">
        <v>110</v>
      </c>
      <c r="F14" s="8">
        <v>45962</v>
      </c>
      <c r="G14" s="285"/>
      <c r="H14" s="47"/>
      <c r="I14" s="96"/>
    </row>
    <row r="15" spans="1:10" ht="72">
      <c r="A15" s="28" t="s">
        <v>214</v>
      </c>
      <c r="B15" s="29" t="s">
        <v>218</v>
      </c>
      <c r="C15" s="29" t="s">
        <v>219</v>
      </c>
      <c r="D15" s="29" t="s">
        <v>217</v>
      </c>
      <c r="E15" s="9">
        <v>6</v>
      </c>
      <c r="F15" s="18">
        <v>45954</v>
      </c>
      <c r="G15" s="286"/>
      <c r="H15" s="47"/>
      <c r="I15" s="97"/>
    </row>
    <row r="16" spans="1:10" ht="86.4">
      <c r="A16" s="28" t="s">
        <v>214</v>
      </c>
      <c r="B16" s="29" t="s">
        <v>220</v>
      </c>
      <c r="C16" s="29" t="s">
        <v>221</v>
      </c>
      <c r="D16" s="29" t="s">
        <v>217</v>
      </c>
      <c r="E16" s="9">
        <v>24</v>
      </c>
      <c r="F16" s="18">
        <v>45943</v>
      </c>
      <c r="G16" s="286"/>
      <c r="H16" s="47"/>
      <c r="I16" s="97"/>
    </row>
    <row r="17" spans="1:9" ht="86.4">
      <c r="A17" s="28" t="s">
        <v>214</v>
      </c>
      <c r="B17" s="29" t="s">
        <v>222</v>
      </c>
      <c r="C17" s="29" t="s">
        <v>223</v>
      </c>
      <c r="D17" s="29" t="s">
        <v>217</v>
      </c>
      <c r="E17" s="9">
        <v>12</v>
      </c>
      <c r="F17" s="18">
        <v>45944</v>
      </c>
      <c r="G17" s="286"/>
      <c r="H17" s="47"/>
      <c r="I17" s="97"/>
    </row>
    <row r="18" spans="1:9" ht="57.6">
      <c r="A18" s="28" t="s">
        <v>214</v>
      </c>
      <c r="B18" s="29" t="s">
        <v>224</v>
      </c>
      <c r="C18" s="29" t="s">
        <v>225</v>
      </c>
      <c r="D18" s="29" t="s">
        <v>217</v>
      </c>
      <c r="E18" s="9">
        <v>10</v>
      </c>
      <c r="F18" s="18">
        <v>45962</v>
      </c>
      <c r="G18" s="286"/>
      <c r="H18" s="47"/>
      <c r="I18" s="97"/>
    </row>
    <row r="19" spans="1:9" ht="72">
      <c r="A19" s="28" t="s">
        <v>214</v>
      </c>
      <c r="B19" s="29" t="s">
        <v>226</v>
      </c>
      <c r="C19" s="29" t="s">
        <v>227</v>
      </c>
      <c r="D19" s="29" t="s">
        <v>217</v>
      </c>
      <c r="E19" s="9">
        <v>10</v>
      </c>
      <c r="F19" s="18">
        <v>45951</v>
      </c>
      <c r="G19" s="286"/>
      <c r="H19" s="47"/>
      <c r="I19" s="97"/>
    </row>
    <row r="20" spans="1:9" ht="72">
      <c r="A20" s="28" t="s">
        <v>214</v>
      </c>
      <c r="B20" s="29" t="s">
        <v>228</v>
      </c>
      <c r="C20" s="29" t="s">
        <v>229</v>
      </c>
      <c r="D20" s="29" t="s">
        <v>217</v>
      </c>
      <c r="E20" s="9">
        <v>1</v>
      </c>
      <c r="F20" s="18">
        <v>45993</v>
      </c>
      <c r="G20" s="286"/>
      <c r="H20" s="47"/>
      <c r="I20" s="97"/>
    </row>
    <row r="21" spans="1:9" ht="86.4">
      <c r="A21" s="28" t="s">
        <v>214</v>
      </c>
      <c r="B21" s="30" t="s">
        <v>230</v>
      </c>
      <c r="C21" s="30" t="s">
        <v>230</v>
      </c>
      <c r="D21" s="30" t="s">
        <v>217</v>
      </c>
      <c r="E21" s="10">
        <v>10</v>
      </c>
      <c r="F21" s="19">
        <v>45944</v>
      </c>
      <c r="G21" s="287" t="s">
        <v>47</v>
      </c>
      <c r="H21" s="47"/>
      <c r="I21" s="98"/>
    </row>
    <row r="22" spans="1:9">
      <c r="A22" s="28"/>
      <c r="B22" s="30"/>
      <c r="C22" s="30"/>
      <c r="D22" s="30"/>
      <c r="E22" s="10"/>
      <c r="F22" s="19"/>
      <c r="G22" s="287"/>
      <c r="H22" s="47"/>
      <c r="I22" s="98"/>
    </row>
    <row r="23" spans="1:9">
      <c r="A23" s="47"/>
      <c r="B23" s="47"/>
      <c r="C23" s="47"/>
      <c r="D23" s="47"/>
      <c r="E23" s="47"/>
      <c r="F23" s="47"/>
      <c r="G23" s="309"/>
      <c r="H23" s="47"/>
      <c r="I23" s="310"/>
    </row>
    <row r="27" spans="1:9" ht="21">
      <c r="A27" s="12"/>
      <c r="B27" s="13" t="s">
        <v>711</v>
      </c>
      <c r="C27" s="14"/>
      <c r="D27" s="14"/>
      <c r="E27" s="12"/>
      <c r="F27" s="12"/>
      <c r="G27" s="12"/>
    </row>
    <row r="29" spans="1:9" ht="15.6">
      <c r="A29" s="369" t="s">
        <v>3</v>
      </c>
      <c r="B29" s="366" t="s">
        <v>712</v>
      </c>
      <c r="C29" s="364" t="s">
        <v>713</v>
      </c>
      <c r="D29" s="361" t="s">
        <v>714</v>
      </c>
      <c r="E29" s="362"/>
      <c r="F29" s="362"/>
      <c r="G29" s="363"/>
      <c r="H29" s="364" t="s">
        <v>715</v>
      </c>
    </row>
    <row r="30" spans="1:9" ht="46.8">
      <c r="A30" s="370"/>
      <c r="B30" s="367"/>
      <c r="C30" s="368"/>
      <c r="D30" s="15" t="s">
        <v>716</v>
      </c>
      <c r="E30" s="15" t="s">
        <v>717</v>
      </c>
      <c r="F30" s="16" t="s">
        <v>718</v>
      </c>
      <c r="G30" s="16" t="s">
        <v>719</v>
      </c>
      <c r="H30" s="365"/>
    </row>
    <row r="31" spans="1:9" ht="28.8">
      <c r="A31" s="6" t="s">
        <v>214</v>
      </c>
      <c r="B31" s="33" t="s">
        <v>17</v>
      </c>
      <c r="C31" s="105"/>
      <c r="D31" s="105"/>
      <c r="E31" s="105"/>
      <c r="F31" s="105"/>
      <c r="G31" s="105"/>
      <c r="H31" s="106"/>
    </row>
    <row r="32" spans="1:9" ht="28.8">
      <c r="A32" s="6" t="s">
        <v>214</v>
      </c>
      <c r="B32" s="34" t="s">
        <v>720</v>
      </c>
      <c r="C32" s="107"/>
      <c r="D32" s="107"/>
      <c r="E32" s="107"/>
      <c r="F32" s="107"/>
      <c r="G32" s="107"/>
      <c r="H32" s="106"/>
    </row>
    <row r="33" spans="1:8" ht="28.8">
      <c r="A33" s="6" t="s">
        <v>214</v>
      </c>
      <c r="B33" s="35" t="s">
        <v>721</v>
      </c>
      <c r="C33" s="109"/>
      <c r="D33" s="109"/>
      <c r="E33" s="109"/>
      <c r="F33" s="109"/>
      <c r="G33" s="109"/>
      <c r="H33" s="106"/>
    </row>
    <row r="34" spans="1:8" ht="28.8">
      <c r="A34" s="6" t="s">
        <v>214</v>
      </c>
      <c r="B34" s="21"/>
      <c r="C34" s="110"/>
      <c r="D34" s="110"/>
      <c r="E34" s="110"/>
      <c r="F34" s="110"/>
      <c r="G34" s="110"/>
      <c r="H34" s="106"/>
    </row>
    <row r="35" spans="1:8">
      <c r="A35" s="37" t="s">
        <v>722</v>
      </c>
      <c r="B35" s="38"/>
      <c r="C35" s="107">
        <f t="shared" ref="C35:H35" si="0">SUM(C31:C34)</f>
        <v>0</v>
      </c>
      <c r="D35" s="108">
        <f t="shared" si="0"/>
        <v>0</v>
      </c>
      <c r="E35" s="108">
        <f t="shared" si="0"/>
        <v>0</v>
      </c>
      <c r="F35" s="108">
        <f t="shared" si="0"/>
        <v>0</v>
      </c>
      <c r="G35" s="108">
        <f t="shared" si="0"/>
        <v>0</v>
      </c>
      <c r="H35" s="108">
        <f t="shared" si="0"/>
        <v>0</v>
      </c>
    </row>
  </sheetData>
  <protectedRanges>
    <protectedRange sqref="H13" name="Rango1"/>
  </protectedRanges>
  <mergeCells count="7">
    <mergeCell ref="A9:J9"/>
    <mergeCell ref="A10:J10"/>
    <mergeCell ref="A29:A30"/>
    <mergeCell ref="B29:B30"/>
    <mergeCell ref="C29:C30"/>
    <mergeCell ref="D29:G29"/>
    <mergeCell ref="H29:H30"/>
  </mergeCells>
  <dataValidations count="3">
    <dataValidation type="list" allowBlank="1" showInputMessage="1" showErrorMessage="1" sqref="G14:G22" xr:uid="{8956B610-1926-4D63-9963-DB5AC109A157}">
      <formula1>"Ejecutado, No ejecutado, En Proceso"</formula1>
    </dataValidation>
    <dataValidation type="date" allowBlank="1" showInputMessage="1" showErrorMessage="1" sqref="F14:F22" xr:uid="{6FD437DA-32AF-4E34-BF41-01A5000D057D}">
      <formula1>45931</formula1>
      <formula2>46022</formula2>
    </dataValidation>
    <dataValidation type="list" allowBlank="1" showInputMessage="1" showErrorMessage="1" sqref="D14:D23" xr:uid="{D00F62CC-62CC-42D4-A6FD-977806916000}">
      <formula1>"Luz del Alba Pastor, Nathalie de la Cruz, Luz del Alba Pastor y Nathalie Cabrera"</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4211-CC81-48EC-B9D6-1CC668D956B3}">
  <sheetPr>
    <tabColor theme="9" tint="-0.249977111117893"/>
  </sheetPr>
  <dimension ref="A6:J31"/>
  <sheetViews>
    <sheetView topLeftCell="C1" workbookViewId="0">
      <selection activeCell="H13" sqref="H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5.1093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84" t="s">
        <v>9</v>
      </c>
      <c r="H13" s="283" t="s">
        <v>710</v>
      </c>
      <c r="I13" s="282" t="s">
        <v>10</v>
      </c>
    </row>
    <row r="14" spans="1:10" ht="86.4">
      <c r="A14" s="28" t="s">
        <v>731</v>
      </c>
      <c r="B14" s="32" t="s">
        <v>732</v>
      </c>
      <c r="C14" s="32" t="s">
        <v>733</v>
      </c>
      <c r="D14" s="32" t="s">
        <v>303</v>
      </c>
      <c r="E14" s="7">
        <v>6</v>
      </c>
      <c r="F14" s="8"/>
      <c r="G14" s="285"/>
      <c r="H14" s="47"/>
      <c r="I14" s="96"/>
    </row>
    <row r="15" spans="1:10" ht="100.8">
      <c r="A15" s="28" t="s">
        <v>731</v>
      </c>
      <c r="B15" s="29" t="s">
        <v>734</v>
      </c>
      <c r="C15" s="29" t="s">
        <v>735</v>
      </c>
      <c r="D15" s="32" t="s">
        <v>303</v>
      </c>
      <c r="E15" s="9">
        <v>6</v>
      </c>
      <c r="F15" s="18"/>
      <c r="G15" s="286"/>
      <c r="H15" s="47"/>
      <c r="I15" s="97"/>
    </row>
    <row r="16" spans="1:10" ht="86.4">
      <c r="A16" s="28" t="s">
        <v>731</v>
      </c>
      <c r="B16" s="29" t="s">
        <v>736</v>
      </c>
      <c r="C16" s="29" t="s">
        <v>737</v>
      </c>
      <c r="D16" s="32" t="s">
        <v>303</v>
      </c>
      <c r="E16" s="9">
        <v>12</v>
      </c>
      <c r="F16" s="18"/>
      <c r="G16" s="286"/>
      <c r="H16" s="47"/>
      <c r="I16" s="97"/>
    </row>
    <row r="23" spans="1:8" ht="21">
      <c r="A23" s="12"/>
      <c r="B23" s="13" t="s">
        <v>711</v>
      </c>
      <c r="C23" s="14"/>
      <c r="D23" s="14"/>
      <c r="E23" s="12"/>
      <c r="F23" s="12"/>
      <c r="G23" s="12"/>
    </row>
    <row r="25" spans="1:8" ht="15.6">
      <c r="A25" s="369" t="s">
        <v>3</v>
      </c>
      <c r="B25" s="366" t="s">
        <v>712</v>
      </c>
      <c r="C25" s="364" t="s">
        <v>713</v>
      </c>
      <c r="D25" s="361" t="s">
        <v>714</v>
      </c>
      <c r="E25" s="362"/>
      <c r="F25" s="362"/>
      <c r="G25" s="363"/>
      <c r="H25" s="364" t="s">
        <v>715</v>
      </c>
    </row>
    <row r="26" spans="1:8" ht="46.8">
      <c r="A26" s="370"/>
      <c r="B26" s="367"/>
      <c r="C26" s="368"/>
      <c r="D26" s="15" t="s">
        <v>716</v>
      </c>
      <c r="E26" s="15" t="s">
        <v>717</v>
      </c>
      <c r="F26" s="16" t="s">
        <v>718</v>
      </c>
      <c r="G26" s="16" t="s">
        <v>719</v>
      </c>
      <c r="H26" s="365"/>
    </row>
    <row r="27" spans="1:8" ht="28.8">
      <c r="A27" s="6" t="s">
        <v>731</v>
      </c>
      <c r="B27" s="33" t="s">
        <v>17</v>
      </c>
      <c r="C27" s="105"/>
      <c r="D27" s="105"/>
      <c r="E27" s="105"/>
      <c r="F27" s="105"/>
      <c r="G27" s="105"/>
      <c r="H27" s="106"/>
    </row>
    <row r="28" spans="1:8" ht="28.8">
      <c r="A28" s="6" t="s">
        <v>731</v>
      </c>
      <c r="B28" s="34" t="s">
        <v>720</v>
      </c>
      <c r="C28" s="107"/>
      <c r="D28" s="107"/>
      <c r="E28" s="107"/>
      <c r="F28" s="107"/>
      <c r="G28" s="107"/>
      <c r="H28" s="106"/>
    </row>
    <row r="29" spans="1:8" ht="28.8">
      <c r="A29" s="6" t="s">
        <v>731</v>
      </c>
      <c r="B29" s="35" t="s">
        <v>721</v>
      </c>
      <c r="C29" s="109"/>
      <c r="D29" s="109"/>
      <c r="E29" s="109"/>
      <c r="F29" s="109"/>
      <c r="G29" s="109"/>
      <c r="H29" s="106"/>
    </row>
    <row r="30" spans="1:8" ht="28.8">
      <c r="A30" s="6" t="s">
        <v>731</v>
      </c>
      <c r="B30" s="21"/>
      <c r="C30" s="110"/>
      <c r="D30" s="110"/>
      <c r="E30" s="110"/>
      <c r="F30" s="110"/>
      <c r="G30" s="110"/>
      <c r="H30" s="106"/>
    </row>
    <row r="31" spans="1:8">
      <c r="A31" s="37" t="s">
        <v>722</v>
      </c>
      <c r="B31" s="38"/>
      <c r="C31" s="107">
        <f t="shared" ref="C31:H31" si="0">SUM(C27:C30)</f>
        <v>0</v>
      </c>
      <c r="D31" s="108">
        <f t="shared" si="0"/>
        <v>0</v>
      </c>
      <c r="E31" s="108">
        <f t="shared" si="0"/>
        <v>0</v>
      </c>
      <c r="F31" s="108">
        <f t="shared" si="0"/>
        <v>0</v>
      </c>
      <c r="G31" s="108">
        <f t="shared" si="0"/>
        <v>0</v>
      </c>
      <c r="H31" s="108">
        <f t="shared" si="0"/>
        <v>0</v>
      </c>
    </row>
  </sheetData>
  <protectedRanges>
    <protectedRange sqref="H13" name="Rango1"/>
  </protectedRanges>
  <mergeCells count="7">
    <mergeCell ref="A9:J9"/>
    <mergeCell ref="A10:J10"/>
    <mergeCell ref="A25:A26"/>
    <mergeCell ref="B25:B26"/>
    <mergeCell ref="C25:C26"/>
    <mergeCell ref="D25:G25"/>
    <mergeCell ref="H25:H26"/>
  </mergeCells>
  <dataValidations count="3">
    <dataValidation type="list" allowBlank="1" showInputMessage="1" showErrorMessage="1" sqref="G14:G16" xr:uid="{48240D8A-D37C-422F-8024-6C66A2F68ADA}">
      <formula1>"Ejecutado, No ejecutado, En Proceso"</formula1>
    </dataValidation>
    <dataValidation type="date" allowBlank="1" showInputMessage="1" showErrorMessage="1" sqref="F14:F16" xr:uid="{47F693D7-8D6B-47A0-A330-8987893A0077}">
      <formula1>45931</formula1>
      <formula2>46022</formula2>
    </dataValidation>
    <dataValidation type="list" allowBlank="1" showInputMessage="1" showErrorMessage="1" sqref="D14:D16" xr:uid="{8B6581E8-28E4-4E1D-83EB-039A0CBCE13F}">
      <formula1>"Santa de Paula"</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20398-85A6-4A99-9B60-F8CD1707B1D6}">
  <sheetPr>
    <tabColor rgb="FF00B050"/>
  </sheetPr>
  <dimension ref="A6:J38"/>
  <sheetViews>
    <sheetView topLeftCell="C8" workbookViewId="0">
      <selection activeCell="H13" sqref="H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5.664062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311" t="s">
        <v>9</v>
      </c>
      <c r="H13" s="283" t="s">
        <v>710</v>
      </c>
      <c r="I13" s="282" t="s">
        <v>10</v>
      </c>
    </row>
    <row r="14" spans="1:10" ht="43.2">
      <c r="A14" s="28" t="s">
        <v>231</v>
      </c>
      <c r="B14" s="7" t="s">
        <v>232</v>
      </c>
      <c r="C14" s="7" t="s">
        <v>233</v>
      </c>
      <c r="D14" s="7" t="s">
        <v>234</v>
      </c>
      <c r="E14" s="7" t="s">
        <v>235</v>
      </c>
      <c r="F14" s="8"/>
      <c r="G14" s="312"/>
      <c r="H14" s="47"/>
      <c r="I14" s="96"/>
    </row>
    <row r="15" spans="1:10" ht="28.8">
      <c r="A15" s="28" t="s">
        <v>231</v>
      </c>
      <c r="B15" s="9" t="s">
        <v>236</v>
      </c>
      <c r="C15" s="9" t="s">
        <v>237</v>
      </c>
      <c r="D15" s="9" t="s">
        <v>234</v>
      </c>
      <c r="E15" s="9" t="s">
        <v>238</v>
      </c>
      <c r="F15" s="18"/>
      <c r="G15" s="313"/>
      <c r="H15" s="47"/>
      <c r="I15" s="97"/>
    </row>
    <row r="16" spans="1:10" ht="43.2">
      <c r="A16" s="28" t="s">
        <v>231</v>
      </c>
      <c r="B16" s="9" t="s">
        <v>239</v>
      </c>
      <c r="C16" s="9" t="s">
        <v>240</v>
      </c>
      <c r="D16" s="9" t="s">
        <v>234</v>
      </c>
      <c r="E16" s="9" t="s">
        <v>241</v>
      </c>
      <c r="F16" s="18"/>
      <c r="G16" s="313"/>
      <c r="H16" s="47"/>
      <c r="I16" s="97"/>
    </row>
    <row r="17" spans="1:9" ht="43.2">
      <c r="A17" s="28" t="s">
        <v>231</v>
      </c>
      <c r="B17" s="9" t="s">
        <v>242</v>
      </c>
      <c r="C17" s="9" t="s">
        <v>243</v>
      </c>
      <c r="D17" s="9" t="s">
        <v>234</v>
      </c>
      <c r="E17" s="9" t="s">
        <v>244</v>
      </c>
      <c r="F17" s="18"/>
      <c r="G17" s="313"/>
      <c r="H17" s="47"/>
      <c r="I17" s="97"/>
    </row>
    <row r="18" spans="1:9" ht="43.2">
      <c r="A18" s="28" t="s">
        <v>231</v>
      </c>
      <c r="B18" s="9" t="s">
        <v>245</v>
      </c>
      <c r="C18" s="9" t="s">
        <v>246</v>
      </c>
      <c r="D18" s="9" t="s">
        <v>234</v>
      </c>
      <c r="E18" s="9" t="s">
        <v>247</v>
      </c>
      <c r="F18" s="18"/>
      <c r="G18" s="313"/>
      <c r="H18" s="47"/>
      <c r="I18" s="97"/>
    </row>
    <row r="19" spans="1:9" ht="28.8">
      <c r="A19" s="28" t="s">
        <v>231</v>
      </c>
      <c r="B19" s="9" t="s">
        <v>248</v>
      </c>
      <c r="C19" s="9" t="s">
        <v>249</v>
      </c>
      <c r="D19" s="9" t="s">
        <v>234</v>
      </c>
      <c r="E19" s="9" t="s">
        <v>250</v>
      </c>
      <c r="F19" s="18"/>
      <c r="G19" s="313"/>
      <c r="H19" s="47"/>
      <c r="I19" s="97"/>
    </row>
    <row r="20" spans="1:9" ht="144">
      <c r="A20" s="28" t="s">
        <v>231</v>
      </c>
      <c r="B20" s="9" t="s">
        <v>251</v>
      </c>
      <c r="C20" s="9" t="s">
        <v>252</v>
      </c>
      <c r="D20" s="9" t="s">
        <v>234</v>
      </c>
      <c r="E20" s="9" t="s">
        <v>253</v>
      </c>
      <c r="F20" s="18">
        <v>45947</v>
      </c>
      <c r="G20" s="314" t="s">
        <v>254</v>
      </c>
      <c r="H20" s="47"/>
      <c r="I20" s="97"/>
    </row>
    <row r="21" spans="1:9" ht="43.2">
      <c r="A21" s="28" t="s">
        <v>231</v>
      </c>
      <c r="B21" s="9" t="s">
        <v>255</v>
      </c>
      <c r="C21" s="9" t="s">
        <v>256</v>
      </c>
      <c r="D21" s="9" t="s">
        <v>234</v>
      </c>
      <c r="E21" s="9" t="s">
        <v>257</v>
      </c>
      <c r="F21" s="18">
        <v>45954</v>
      </c>
      <c r="G21" s="314" t="s">
        <v>258</v>
      </c>
      <c r="H21" s="47"/>
      <c r="I21" s="97"/>
    </row>
    <row r="30" spans="1:9" ht="21">
      <c r="A30" s="12"/>
      <c r="B30" s="13" t="s">
        <v>711</v>
      </c>
      <c r="C30" s="14"/>
      <c r="D30" s="14"/>
      <c r="E30" s="12"/>
      <c r="F30" s="12"/>
      <c r="G30" s="12"/>
    </row>
    <row r="32" spans="1:9" ht="15.6">
      <c r="A32" s="369" t="s">
        <v>3</v>
      </c>
      <c r="B32" s="366" t="s">
        <v>712</v>
      </c>
      <c r="C32" s="364" t="s">
        <v>713</v>
      </c>
      <c r="D32" s="361" t="s">
        <v>714</v>
      </c>
      <c r="E32" s="362"/>
      <c r="F32" s="362"/>
      <c r="G32" s="363"/>
      <c r="H32" s="364" t="s">
        <v>715</v>
      </c>
    </row>
    <row r="33" spans="1:8" ht="46.8">
      <c r="A33" s="370"/>
      <c r="B33" s="367"/>
      <c r="C33" s="368"/>
      <c r="D33" s="15" t="s">
        <v>716</v>
      </c>
      <c r="E33" s="15" t="s">
        <v>717</v>
      </c>
      <c r="F33" s="16" t="s">
        <v>718</v>
      </c>
      <c r="G33" s="16" t="s">
        <v>719</v>
      </c>
      <c r="H33" s="365"/>
    </row>
    <row r="34" spans="1:8">
      <c r="A34" s="6" t="s">
        <v>231</v>
      </c>
      <c r="B34" s="33" t="s">
        <v>17</v>
      </c>
      <c r="C34" s="105"/>
      <c r="D34" s="105"/>
      <c r="E34" s="105"/>
      <c r="F34" s="105"/>
      <c r="G34" s="105"/>
      <c r="H34" s="106"/>
    </row>
    <row r="35" spans="1:8">
      <c r="A35" s="6" t="s">
        <v>231</v>
      </c>
      <c r="B35" s="34" t="s">
        <v>720</v>
      </c>
      <c r="C35" s="107"/>
      <c r="D35" s="107"/>
      <c r="E35" s="107"/>
      <c r="F35" s="107"/>
      <c r="G35" s="107"/>
      <c r="H35" s="106"/>
    </row>
    <row r="36" spans="1:8">
      <c r="A36" s="6" t="s">
        <v>231</v>
      </c>
      <c r="B36" s="35" t="s">
        <v>721</v>
      </c>
      <c r="C36" s="109"/>
      <c r="D36" s="109"/>
      <c r="E36" s="109"/>
      <c r="F36" s="109"/>
      <c r="G36" s="109"/>
      <c r="H36" s="106"/>
    </row>
    <row r="37" spans="1:8">
      <c r="A37" s="6" t="s">
        <v>231</v>
      </c>
      <c r="B37" s="21"/>
      <c r="C37" s="110"/>
      <c r="D37" s="110"/>
      <c r="E37" s="110"/>
      <c r="F37" s="110"/>
      <c r="G37" s="110"/>
      <c r="H37" s="106"/>
    </row>
    <row r="38" spans="1:8">
      <c r="A38" s="37" t="s">
        <v>722</v>
      </c>
      <c r="B38" s="38"/>
      <c r="C38" s="107">
        <f t="shared" ref="C38:H38" si="0">SUM(C34:C37)</f>
        <v>0</v>
      </c>
      <c r="D38" s="108">
        <f t="shared" si="0"/>
        <v>0</v>
      </c>
      <c r="E38" s="108">
        <f t="shared" si="0"/>
        <v>0</v>
      </c>
      <c r="F38" s="108">
        <f t="shared" si="0"/>
        <v>0</v>
      </c>
      <c r="G38" s="108">
        <f t="shared" si="0"/>
        <v>0</v>
      </c>
      <c r="H38" s="108">
        <f t="shared" si="0"/>
        <v>0</v>
      </c>
    </row>
  </sheetData>
  <protectedRanges>
    <protectedRange sqref="H13" name="Rango1"/>
  </protectedRanges>
  <mergeCells count="7">
    <mergeCell ref="A9:J9"/>
    <mergeCell ref="A10:J10"/>
    <mergeCell ref="A32:A33"/>
    <mergeCell ref="B32:B33"/>
    <mergeCell ref="C32:C33"/>
    <mergeCell ref="D32:G32"/>
    <mergeCell ref="H32:H33"/>
  </mergeCells>
  <dataValidations count="4">
    <dataValidation type="list" allowBlank="1" showInputMessage="1" showErrorMessage="1" sqref="G15:G21 G13" xr:uid="{3B1CCFF3-4D27-4474-AF01-9489AECC7F0B}">
      <formula1>"Ejecutado, No Ejecutado, En proceso "</formula1>
    </dataValidation>
    <dataValidation type="list" allowBlank="1" showInputMessage="1" showErrorMessage="1" sqref="G14" xr:uid="{D3341415-6DB3-41CA-B5B6-9B362CF252C0}">
      <formula1>"Ejecutado; No ejecutado; En proceso "</formula1>
    </dataValidation>
    <dataValidation type="date" allowBlank="1" showInputMessage="1" showErrorMessage="1" sqref="F14:F21" xr:uid="{979CB45A-1095-4F81-8A7B-7224032D39AB}">
      <formula1>45931</formula1>
      <formula2>46022</formula2>
    </dataValidation>
    <dataValidation type="list" allowBlank="1" showInputMessage="1" showErrorMessage="1" sqref="D14:D21" xr:uid="{051FA66A-3127-41EB-90D9-874B443C053F}">
      <formula1>"Ana Adón, Candido Bierd "</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F803E-8F0F-4D92-A6FB-907FC01667E2}">
  <sheetPr>
    <tabColor rgb="FFC00000"/>
  </sheetPr>
  <dimension ref="A6:J60"/>
  <sheetViews>
    <sheetView topLeftCell="F2" workbookViewId="0">
      <selection activeCell="J16" sqref="J16"/>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0.886718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77" t="s">
        <v>9</v>
      </c>
      <c r="H13" s="283" t="s">
        <v>710</v>
      </c>
      <c r="I13" s="282" t="s">
        <v>10</v>
      </c>
    </row>
    <row r="14" spans="1:10" ht="28.8">
      <c r="A14" s="28" t="s">
        <v>738</v>
      </c>
      <c r="B14" s="28"/>
      <c r="C14" s="32"/>
      <c r="D14" s="32"/>
      <c r="E14" s="7"/>
      <c r="F14" s="8"/>
      <c r="G14" s="278"/>
      <c r="H14" s="112"/>
      <c r="I14" s="96"/>
    </row>
    <row r="15" spans="1:10" ht="28.8">
      <c r="A15" s="28" t="s">
        <v>738</v>
      </c>
      <c r="B15" s="121"/>
      <c r="C15" s="32"/>
      <c r="D15" s="32"/>
      <c r="E15" s="7"/>
      <c r="F15" s="8"/>
      <c r="G15" s="278"/>
      <c r="H15" s="47"/>
      <c r="I15" s="96"/>
    </row>
    <row r="16" spans="1:10" ht="28.8">
      <c r="A16" s="28" t="s">
        <v>738</v>
      </c>
      <c r="B16" s="29"/>
      <c r="C16" s="29"/>
      <c r="D16" s="29"/>
      <c r="E16" s="9"/>
      <c r="F16" s="18"/>
      <c r="G16" s="279"/>
      <c r="H16" s="47"/>
      <c r="I16" s="97"/>
    </row>
    <row r="17" spans="1:9" ht="28.8">
      <c r="A17" s="28" t="s">
        <v>738</v>
      </c>
      <c r="B17" s="29"/>
      <c r="C17" s="29"/>
      <c r="D17" s="29"/>
      <c r="E17" s="9"/>
      <c r="F17" s="18"/>
      <c r="G17" s="279"/>
      <c r="H17" s="47"/>
      <c r="I17" s="97"/>
    </row>
    <row r="18" spans="1:9" ht="28.8">
      <c r="A18" s="28" t="s">
        <v>738</v>
      </c>
      <c r="B18" s="29"/>
      <c r="C18" s="29"/>
      <c r="D18" s="29"/>
      <c r="E18" s="9"/>
      <c r="F18" s="18"/>
      <c r="G18" s="279"/>
      <c r="H18" s="47"/>
      <c r="I18" s="97"/>
    </row>
    <row r="19" spans="1:9" ht="28.8">
      <c r="A19" s="28" t="s">
        <v>738</v>
      </c>
      <c r="B19" s="29"/>
      <c r="C19" s="29"/>
      <c r="D19" s="29"/>
      <c r="E19" s="9"/>
      <c r="F19" s="18"/>
      <c r="G19" s="279"/>
      <c r="H19" s="47"/>
      <c r="I19" s="97"/>
    </row>
    <row r="20" spans="1:9" ht="28.8">
      <c r="A20" s="28" t="s">
        <v>738</v>
      </c>
      <c r="B20" s="29"/>
      <c r="C20" s="29"/>
      <c r="D20" s="29"/>
      <c r="E20" s="9"/>
      <c r="F20" s="18"/>
      <c r="G20" s="279"/>
      <c r="H20" s="47"/>
      <c r="I20" s="97"/>
    </row>
    <row r="21" spans="1:9">
      <c r="A21" s="28"/>
      <c r="B21" s="29"/>
      <c r="C21" s="29"/>
      <c r="D21" s="29"/>
      <c r="E21" s="9"/>
      <c r="F21" s="18"/>
      <c r="G21" s="279"/>
      <c r="H21" s="47"/>
      <c r="I21" s="97"/>
    </row>
    <row r="22" spans="1:9">
      <c r="A22" s="28"/>
      <c r="B22" s="29"/>
      <c r="C22" s="29"/>
      <c r="D22" s="29"/>
      <c r="E22" s="9"/>
      <c r="F22" s="18"/>
      <c r="G22" s="279"/>
      <c r="H22" s="47"/>
      <c r="I22" s="97"/>
    </row>
    <row r="23" spans="1:9">
      <c r="A23" s="28"/>
      <c r="B23" s="29"/>
      <c r="C23" s="29"/>
      <c r="D23" s="29"/>
      <c r="E23" s="9"/>
      <c r="F23" s="18"/>
      <c r="G23" s="279"/>
      <c r="H23" s="47"/>
      <c r="I23" s="97"/>
    </row>
    <row r="24" spans="1:9">
      <c r="A24" s="28"/>
      <c r="B24" s="29"/>
      <c r="C24" s="29"/>
      <c r="D24" s="29"/>
      <c r="E24" s="9"/>
      <c r="F24" s="18"/>
      <c r="G24" s="279"/>
      <c r="H24" s="47"/>
      <c r="I24" s="97"/>
    </row>
    <row r="25" spans="1:9">
      <c r="A25" s="28"/>
      <c r="B25" s="30"/>
      <c r="C25" s="30"/>
      <c r="D25" s="30"/>
      <c r="E25" s="10"/>
      <c r="F25" s="19"/>
      <c r="G25" s="280"/>
      <c r="H25" s="47"/>
      <c r="I25" s="98"/>
    </row>
    <row r="26" spans="1:9">
      <c r="A26" s="28"/>
      <c r="B26" s="31"/>
      <c r="C26" s="31"/>
      <c r="D26" s="31"/>
      <c r="E26" s="11"/>
      <c r="F26" s="20"/>
      <c r="G26" s="281"/>
      <c r="H26" s="47"/>
      <c r="I26" s="99"/>
    </row>
    <row r="27" spans="1:9">
      <c r="A27" s="31"/>
      <c r="B27" s="31"/>
      <c r="C27" s="31"/>
      <c r="D27" s="31"/>
      <c r="E27" s="11"/>
      <c r="F27" s="20"/>
      <c r="G27" s="281"/>
      <c r="H27" s="47"/>
      <c r="I27" s="99"/>
    </row>
    <row r="28" spans="1:9">
      <c r="A28" s="31"/>
      <c r="B28" s="31"/>
      <c r="C28" s="31"/>
      <c r="D28" s="31"/>
      <c r="E28" s="11"/>
      <c r="F28" s="20"/>
      <c r="G28" s="281"/>
      <c r="H28" s="47"/>
      <c r="I28" s="99"/>
    </row>
    <row r="29" spans="1:9">
      <c r="A29" s="31"/>
      <c r="B29" s="31"/>
      <c r="C29" s="31"/>
      <c r="D29" s="31"/>
      <c r="E29" s="11"/>
      <c r="F29" s="20"/>
      <c r="G29" s="281"/>
      <c r="H29" s="47"/>
      <c r="I29" s="99"/>
    </row>
    <row r="30" spans="1:9">
      <c r="A30" s="31"/>
      <c r="B30" s="31"/>
      <c r="C30" s="31"/>
      <c r="D30" s="31"/>
      <c r="E30" s="11"/>
      <c r="F30" s="20"/>
      <c r="G30" s="281"/>
      <c r="H30" s="47"/>
      <c r="I30" s="99"/>
    </row>
    <row r="31" spans="1:9">
      <c r="A31" s="31"/>
      <c r="B31" s="31"/>
      <c r="C31" s="31"/>
      <c r="D31" s="31"/>
      <c r="E31" s="11"/>
      <c r="F31" s="20"/>
      <c r="G31" s="281"/>
      <c r="H31" s="47"/>
      <c r="I31" s="99"/>
    </row>
    <row r="32" spans="1:9">
      <c r="A32" s="31"/>
      <c r="B32" s="31"/>
      <c r="C32" s="31"/>
      <c r="D32" s="31"/>
      <c r="E32" s="11"/>
      <c r="F32" s="20"/>
      <c r="G32" s="281"/>
      <c r="H32" s="47"/>
      <c r="I32" s="99"/>
    </row>
    <row r="33" spans="1:9">
      <c r="A33" s="31"/>
      <c r="B33" s="31"/>
      <c r="C33" s="31"/>
      <c r="D33" s="31"/>
      <c r="E33" s="11"/>
      <c r="F33" s="20"/>
      <c r="G33" s="281"/>
      <c r="H33" s="47"/>
      <c r="I33" s="99"/>
    </row>
    <row r="34" spans="1:9">
      <c r="A34" s="31"/>
      <c r="B34" s="31"/>
      <c r="C34" s="31"/>
      <c r="D34" s="31"/>
      <c r="E34" s="11"/>
      <c r="F34" s="20"/>
      <c r="G34" s="281"/>
      <c r="H34" s="47"/>
      <c r="I34" s="99"/>
    </row>
    <row r="35" spans="1:9">
      <c r="A35" s="31"/>
      <c r="B35" s="31"/>
      <c r="C35" s="31"/>
      <c r="D35" s="31"/>
      <c r="E35" s="11"/>
      <c r="F35" s="20"/>
      <c r="G35" s="281"/>
      <c r="H35" s="47"/>
      <c r="I35" s="99"/>
    </row>
    <row r="36" spans="1:9">
      <c r="A36" s="31"/>
      <c r="B36" s="31"/>
      <c r="C36" s="31"/>
      <c r="D36" s="31"/>
      <c r="E36" s="11"/>
      <c r="F36" s="20"/>
      <c r="G36" s="281"/>
      <c r="H36" s="47"/>
      <c r="I36" s="99"/>
    </row>
    <row r="37" spans="1:9">
      <c r="A37" s="31"/>
      <c r="B37" s="31"/>
      <c r="C37" s="31"/>
      <c r="D37" s="31"/>
      <c r="E37" s="11"/>
      <c r="F37" s="20"/>
      <c r="G37" s="281"/>
      <c r="H37" s="47"/>
      <c r="I37" s="99"/>
    </row>
    <row r="38" spans="1:9">
      <c r="A38" s="31"/>
      <c r="B38" s="31"/>
      <c r="C38" s="31"/>
      <c r="D38" s="31"/>
      <c r="E38" s="11"/>
      <c r="F38" s="20"/>
      <c r="G38" s="281"/>
      <c r="H38" s="47"/>
      <c r="I38" s="99"/>
    </row>
    <row r="39" spans="1:9">
      <c r="A39" s="31"/>
      <c r="B39" s="31"/>
      <c r="C39" s="31"/>
      <c r="D39" s="31"/>
      <c r="E39" s="11"/>
      <c r="F39" s="20"/>
      <c r="G39" s="281"/>
      <c r="H39" s="47"/>
      <c r="I39" s="99"/>
    </row>
    <row r="40" spans="1:9">
      <c r="A40" s="31"/>
      <c r="B40" s="31"/>
      <c r="C40" s="31"/>
      <c r="D40" s="31"/>
      <c r="E40" s="11"/>
      <c r="F40" s="20"/>
      <c r="G40" s="281"/>
      <c r="H40" s="47"/>
      <c r="I40" s="99"/>
    </row>
    <row r="41" spans="1:9">
      <c r="A41" s="31"/>
      <c r="B41" s="31"/>
      <c r="C41" s="31"/>
      <c r="D41" s="31"/>
      <c r="E41" s="11"/>
      <c r="F41" s="20"/>
      <c r="G41" s="281"/>
      <c r="H41" s="47"/>
      <c r="I41" s="99"/>
    </row>
    <row r="42" spans="1:9">
      <c r="A42" s="31"/>
      <c r="B42" s="31"/>
      <c r="C42" s="31"/>
      <c r="D42" s="31"/>
      <c r="E42" s="11"/>
      <c r="F42" s="20"/>
      <c r="G42" s="281"/>
      <c r="H42" s="47"/>
      <c r="I42" s="99"/>
    </row>
    <row r="43" spans="1:9">
      <c r="A43" s="31"/>
      <c r="B43" s="31"/>
      <c r="C43" s="31"/>
      <c r="D43" s="31"/>
      <c r="E43" s="11"/>
      <c r="F43" s="20"/>
      <c r="G43" s="281"/>
      <c r="H43" s="47"/>
      <c r="I43" s="99"/>
    </row>
    <row r="44" spans="1:9">
      <c r="A44" s="31"/>
      <c r="B44" s="31"/>
      <c r="C44" s="31"/>
      <c r="D44" s="31"/>
      <c r="E44" s="11"/>
      <c r="F44" s="20"/>
      <c r="G44" s="281"/>
      <c r="H44" s="47"/>
      <c r="I44" s="99"/>
    </row>
    <row r="52" spans="1:8" ht="21">
      <c r="A52" s="12"/>
      <c r="B52" s="13" t="s">
        <v>711</v>
      </c>
      <c r="C52" s="14"/>
      <c r="D52" s="14"/>
      <c r="E52" s="12"/>
      <c r="F52" s="12"/>
      <c r="G52" s="12"/>
    </row>
    <row r="54" spans="1:8" ht="15.6">
      <c r="A54" s="369" t="s">
        <v>3</v>
      </c>
      <c r="B54" s="366" t="s">
        <v>712</v>
      </c>
      <c r="C54" s="364" t="s">
        <v>713</v>
      </c>
      <c r="D54" s="361" t="s">
        <v>714</v>
      </c>
      <c r="E54" s="362"/>
      <c r="F54" s="362"/>
      <c r="G54" s="363"/>
      <c r="H54" s="364" t="s">
        <v>715</v>
      </c>
    </row>
    <row r="55" spans="1:8" ht="46.8">
      <c r="A55" s="370"/>
      <c r="B55" s="367"/>
      <c r="C55" s="368"/>
      <c r="D55" s="15" t="s">
        <v>716</v>
      </c>
      <c r="E55" s="15" t="s">
        <v>717</v>
      </c>
      <c r="F55" s="16" t="s">
        <v>718</v>
      </c>
      <c r="G55" s="16" t="s">
        <v>719</v>
      </c>
      <c r="H55" s="365"/>
    </row>
    <row r="56" spans="1:8">
      <c r="A56" s="6" t="s">
        <v>739</v>
      </c>
      <c r="B56" s="33" t="s">
        <v>17</v>
      </c>
      <c r="C56" s="105"/>
      <c r="D56" s="105"/>
      <c r="E56" s="105"/>
      <c r="F56" s="105"/>
      <c r="G56" s="105"/>
      <c r="H56" s="106"/>
    </row>
    <row r="57" spans="1:8">
      <c r="A57" s="6" t="s">
        <v>739</v>
      </c>
      <c r="B57" s="34" t="s">
        <v>720</v>
      </c>
      <c r="C57" s="107"/>
      <c r="D57" s="107"/>
      <c r="E57" s="107"/>
      <c r="F57" s="107"/>
      <c r="G57" s="107"/>
      <c r="H57" s="106"/>
    </row>
    <row r="58" spans="1:8">
      <c r="A58" s="6" t="s">
        <v>739</v>
      </c>
      <c r="B58" s="35" t="s">
        <v>721</v>
      </c>
      <c r="C58" s="109"/>
      <c r="D58" s="109"/>
      <c r="E58" s="109"/>
      <c r="F58" s="109"/>
      <c r="G58" s="109"/>
      <c r="H58" s="106"/>
    </row>
    <row r="59" spans="1:8">
      <c r="A59" s="6" t="s">
        <v>739</v>
      </c>
      <c r="B59" s="21"/>
      <c r="C59" s="110"/>
      <c r="D59" s="110"/>
      <c r="E59" s="110"/>
      <c r="F59" s="110"/>
      <c r="G59" s="110"/>
      <c r="H59" s="106"/>
    </row>
    <row r="60" spans="1:8">
      <c r="A60" s="37" t="s">
        <v>722</v>
      </c>
      <c r="B60" s="38"/>
      <c r="C60" s="107">
        <f t="shared" ref="C60:H60" si="0">SUM(C56:C59)</f>
        <v>0</v>
      </c>
      <c r="D60" s="108">
        <f t="shared" si="0"/>
        <v>0</v>
      </c>
      <c r="E60" s="108">
        <f t="shared" si="0"/>
        <v>0</v>
      </c>
      <c r="F60" s="108">
        <f t="shared" si="0"/>
        <v>0</v>
      </c>
      <c r="G60" s="108">
        <f t="shared" si="0"/>
        <v>0</v>
      </c>
      <c r="H60" s="108">
        <f t="shared" si="0"/>
        <v>0</v>
      </c>
    </row>
  </sheetData>
  <mergeCells count="7">
    <mergeCell ref="A9:J9"/>
    <mergeCell ref="A10:J10"/>
    <mergeCell ref="A54:A55"/>
    <mergeCell ref="B54:B55"/>
    <mergeCell ref="C54:C55"/>
    <mergeCell ref="D54:G54"/>
    <mergeCell ref="H54:H55"/>
  </mergeCells>
  <dataValidations count="3">
    <dataValidation type="list" allowBlank="1" showInputMessage="1" showErrorMessage="1" sqref="G14:G44" xr:uid="{D258607C-6567-4988-881A-56325EE09C9B}">
      <formula1>"Ejecutado, No ejecutado, En Proceso"</formula1>
    </dataValidation>
    <dataValidation type="date" allowBlank="1" showInputMessage="1" showErrorMessage="1" sqref="F14:F44" xr:uid="{D16FA1EA-4B41-4264-A82F-8942342E44AE}">
      <formula1>45931</formula1>
      <formula2>46022</formula2>
    </dataValidation>
    <dataValidation type="list" allowBlank="1" showInputMessage="1" showErrorMessage="1" sqref="D14:D44" xr:uid="{2FD2C0F2-E6E6-480F-A094-ECE91939C03F}">
      <formula1>"Alexander de la Rosa, Fenelis Bueno, Radhames Paulino "</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3C52-2F1C-4E3C-BDA5-F3F2EA1F9725}">
  <sheetPr>
    <tabColor rgb="FF00B050"/>
  </sheetPr>
  <dimension ref="A6:J47"/>
  <sheetViews>
    <sheetView topLeftCell="C1" workbookViewId="0">
      <selection activeCell="I15" sqref="I15"/>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4.3320312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84" t="s">
        <v>9</v>
      </c>
      <c r="H13" s="283" t="s">
        <v>710</v>
      </c>
      <c r="I13" s="282" t="s">
        <v>10</v>
      </c>
    </row>
    <row r="14" spans="1:10" ht="46.8">
      <c r="A14" s="28" t="s">
        <v>259</v>
      </c>
      <c r="B14" s="196" t="s">
        <v>260</v>
      </c>
      <c r="C14" s="196" t="s">
        <v>261</v>
      </c>
      <c r="D14" s="197" t="s">
        <v>262</v>
      </c>
      <c r="E14" s="197" t="s">
        <v>263</v>
      </c>
      <c r="F14" s="198"/>
      <c r="G14" s="315"/>
      <c r="H14" s="47"/>
      <c r="I14" s="319"/>
    </row>
    <row r="15" spans="1:10" ht="78">
      <c r="A15" s="28" t="s">
        <v>259</v>
      </c>
      <c r="B15" s="201" t="s">
        <v>264</v>
      </c>
      <c r="C15" s="201" t="s">
        <v>265</v>
      </c>
      <c r="D15" s="202" t="s">
        <v>266</v>
      </c>
      <c r="E15" s="202" t="s">
        <v>267</v>
      </c>
      <c r="F15" s="203"/>
      <c r="G15" s="316"/>
      <c r="H15" s="47"/>
      <c r="I15" s="320"/>
    </row>
    <row r="16" spans="1:10" ht="78">
      <c r="A16" s="28" t="s">
        <v>259</v>
      </c>
      <c r="B16" s="201" t="s">
        <v>268</v>
      </c>
      <c r="C16" s="201" t="s">
        <v>269</v>
      </c>
      <c r="D16" s="202" t="s">
        <v>266</v>
      </c>
      <c r="E16" s="202" t="s">
        <v>267</v>
      </c>
      <c r="F16" s="203">
        <v>45959</v>
      </c>
      <c r="G16" s="316"/>
      <c r="H16" s="47"/>
      <c r="I16" s="320"/>
    </row>
    <row r="17" spans="1:9" ht="124.8">
      <c r="A17" s="28" t="s">
        <v>259</v>
      </c>
      <c r="B17" s="201" t="s">
        <v>270</v>
      </c>
      <c r="C17" s="201" t="s">
        <v>271</v>
      </c>
      <c r="D17" s="202" t="s">
        <v>266</v>
      </c>
      <c r="E17" s="202" t="s">
        <v>267</v>
      </c>
      <c r="F17" s="202"/>
      <c r="G17" s="317"/>
      <c r="H17" s="47"/>
      <c r="I17" s="321"/>
    </row>
    <row r="18" spans="1:9" ht="62.4">
      <c r="A18" s="28" t="s">
        <v>259</v>
      </c>
      <c r="B18" s="201" t="s">
        <v>272</v>
      </c>
      <c r="C18" s="201" t="s">
        <v>273</v>
      </c>
      <c r="D18" s="202" t="s">
        <v>274</v>
      </c>
      <c r="E18" s="202" t="s">
        <v>275</v>
      </c>
      <c r="F18" s="201"/>
      <c r="G18" s="317"/>
      <c r="H18" s="47"/>
      <c r="I18" s="321"/>
    </row>
    <row r="19" spans="1:9" ht="62.4">
      <c r="A19" s="28" t="s">
        <v>259</v>
      </c>
      <c r="B19" s="201" t="s">
        <v>276</v>
      </c>
      <c r="C19" s="201" t="s">
        <v>277</v>
      </c>
      <c r="D19" s="202" t="s">
        <v>274</v>
      </c>
      <c r="E19" s="202" t="s">
        <v>278</v>
      </c>
      <c r="F19" s="201"/>
      <c r="G19" s="318"/>
      <c r="H19" s="47"/>
      <c r="I19" s="321"/>
    </row>
    <row r="20" spans="1:9" ht="62.4">
      <c r="A20" s="28" t="s">
        <v>279</v>
      </c>
      <c r="B20" s="201" t="s">
        <v>280</v>
      </c>
      <c r="C20" s="201" t="s">
        <v>273</v>
      </c>
      <c r="D20" s="202" t="s">
        <v>274</v>
      </c>
      <c r="E20" s="202" t="s">
        <v>275</v>
      </c>
      <c r="F20" s="203"/>
      <c r="G20" s="318"/>
      <c r="H20" s="47"/>
      <c r="I20" s="321"/>
    </row>
    <row r="21" spans="1:9" ht="62.4">
      <c r="A21" s="28" t="s">
        <v>279</v>
      </c>
      <c r="B21" s="201" t="s">
        <v>281</v>
      </c>
      <c r="C21" s="201" t="s">
        <v>282</v>
      </c>
      <c r="D21" s="202" t="s">
        <v>274</v>
      </c>
      <c r="E21" s="202" t="s">
        <v>278</v>
      </c>
      <c r="F21" s="203"/>
      <c r="G21" s="318"/>
      <c r="H21" s="47"/>
      <c r="I21" s="321"/>
    </row>
    <row r="22" spans="1:9" ht="93.6">
      <c r="A22" s="28" t="s">
        <v>259</v>
      </c>
      <c r="B22" s="201" t="s">
        <v>283</v>
      </c>
      <c r="C22" s="201" t="s">
        <v>284</v>
      </c>
      <c r="D22" s="202" t="s">
        <v>274</v>
      </c>
      <c r="E22" s="202" t="s">
        <v>285</v>
      </c>
      <c r="F22" s="203"/>
      <c r="G22" s="318"/>
      <c r="H22" s="47"/>
      <c r="I22" s="321"/>
    </row>
    <row r="23" spans="1:9" ht="78">
      <c r="A23" s="28" t="s">
        <v>259</v>
      </c>
      <c r="B23" s="201" t="s">
        <v>286</v>
      </c>
      <c r="C23" s="201" t="s">
        <v>287</v>
      </c>
      <c r="D23" s="202" t="s">
        <v>274</v>
      </c>
      <c r="E23" s="202" t="s">
        <v>285</v>
      </c>
      <c r="F23" s="20"/>
      <c r="G23" s="288"/>
      <c r="H23" s="47"/>
      <c r="I23" s="99"/>
    </row>
    <row r="24" spans="1:9" ht="95.25" customHeight="1">
      <c r="A24" s="28" t="s">
        <v>288</v>
      </c>
      <c r="B24" s="216" t="s">
        <v>289</v>
      </c>
      <c r="C24" s="216" t="s">
        <v>290</v>
      </c>
      <c r="D24" s="217" t="s">
        <v>291</v>
      </c>
      <c r="E24" s="218" t="s">
        <v>285</v>
      </c>
      <c r="F24" s="219">
        <v>45944</v>
      </c>
      <c r="G24" s="288"/>
      <c r="H24" s="47"/>
      <c r="I24" s="99"/>
    </row>
    <row r="25" spans="1:9" ht="91.5" customHeight="1">
      <c r="A25" s="28" t="s">
        <v>288</v>
      </c>
      <c r="B25" s="220" t="s">
        <v>292</v>
      </c>
      <c r="C25" s="216" t="s">
        <v>293</v>
      </c>
      <c r="D25" s="221" t="s">
        <v>291</v>
      </c>
      <c r="E25" s="218" t="s">
        <v>285</v>
      </c>
      <c r="F25" s="219">
        <v>45931</v>
      </c>
      <c r="G25" s="288"/>
      <c r="H25" s="47"/>
      <c r="I25" s="99"/>
    </row>
    <row r="26" spans="1:9" ht="91.5" customHeight="1">
      <c r="A26" s="28" t="s">
        <v>288</v>
      </c>
      <c r="B26" s="216" t="s">
        <v>294</v>
      </c>
      <c r="C26" s="216" t="s">
        <v>295</v>
      </c>
      <c r="D26" s="221" t="s">
        <v>291</v>
      </c>
      <c r="E26" s="218" t="s">
        <v>285</v>
      </c>
      <c r="F26" s="219"/>
      <c r="G26" s="288"/>
      <c r="H26" s="47"/>
      <c r="I26" s="99"/>
    </row>
    <row r="27" spans="1:9" ht="79.5" customHeight="1">
      <c r="A27" s="28" t="s">
        <v>288</v>
      </c>
      <c r="B27" s="216" t="s">
        <v>283</v>
      </c>
      <c r="C27" s="216" t="s">
        <v>296</v>
      </c>
      <c r="D27" s="221" t="s">
        <v>291</v>
      </c>
      <c r="E27" s="218" t="s">
        <v>285</v>
      </c>
      <c r="F27" s="219">
        <v>45951</v>
      </c>
      <c r="G27" s="288"/>
      <c r="H27" s="47"/>
      <c r="I27" s="99"/>
    </row>
    <row r="28" spans="1:9" ht="81" customHeight="1">
      <c r="A28" s="28" t="s">
        <v>288</v>
      </c>
      <c r="B28" s="216" t="s">
        <v>276</v>
      </c>
      <c r="C28" s="216" t="s">
        <v>297</v>
      </c>
      <c r="D28" s="221" t="s">
        <v>291</v>
      </c>
      <c r="E28" s="218" t="s">
        <v>285</v>
      </c>
      <c r="F28" s="20"/>
      <c r="G28" s="288"/>
      <c r="H28" s="47"/>
      <c r="I28" s="99"/>
    </row>
    <row r="29" spans="1:9" ht="99.75" customHeight="1">
      <c r="A29" s="28" t="s">
        <v>288</v>
      </c>
      <c r="B29" s="216" t="s">
        <v>268</v>
      </c>
      <c r="C29" s="216" t="s">
        <v>269</v>
      </c>
      <c r="D29" s="221" t="s">
        <v>291</v>
      </c>
      <c r="E29" s="218" t="s">
        <v>285</v>
      </c>
      <c r="F29" s="219">
        <v>45959</v>
      </c>
      <c r="G29" s="288"/>
      <c r="H29" s="47"/>
      <c r="I29" s="99"/>
    </row>
    <row r="30" spans="1:9" ht="104.25" customHeight="1">
      <c r="A30" s="28" t="s">
        <v>288</v>
      </c>
      <c r="B30" s="216" t="s">
        <v>298</v>
      </c>
      <c r="C30" s="216" t="s">
        <v>299</v>
      </c>
      <c r="D30" s="221" t="s">
        <v>291</v>
      </c>
      <c r="E30" s="218" t="s">
        <v>285</v>
      </c>
      <c r="F30" s="20"/>
      <c r="G30" s="288"/>
      <c r="H30" s="47"/>
      <c r="I30" s="99"/>
    </row>
    <row r="39" spans="1:8" ht="21">
      <c r="A39" s="12"/>
      <c r="B39" s="13" t="s">
        <v>711</v>
      </c>
      <c r="C39" s="14"/>
      <c r="D39" s="14"/>
      <c r="E39" s="12"/>
      <c r="F39" s="12"/>
      <c r="G39" s="12"/>
    </row>
    <row r="41" spans="1:8" ht="15.6">
      <c r="A41" s="369" t="s">
        <v>3</v>
      </c>
      <c r="B41" s="366" t="s">
        <v>712</v>
      </c>
      <c r="C41" s="364" t="s">
        <v>713</v>
      </c>
      <c r="D41" s="361" t="s">
        <v>714</v>
      </c>
      <c r="E41" s="362"/>
      <c r="F41" s="362"/>
      <c r="G41" s="363"/>
      <c r="H41" s="364" t="s">
        <v>715</v>
      </c>
    </row>
    <row r="42" spans="1:8" ht="46.8">
      <c r="A42" s="370"/>
      <c r="B42" s="367"/>
      <c r="C42" s="368"/>
      <c r="D42" s="15" t="s">
        <v>716</v>
      </c>
      <c r="E42" s="15" t="s">
        <v>717</v>
      </c>
      <c r="F42" s="16" t="s">
        <v>718</v>
      </c>
      <c r="G42" s="16" t="s">
        <v>719</v>
      </c>
      <c r="H42" s="365"/>
    </row>
    <row r="43" spans="1:8" ht="28.8">
      <c r="A43" s="28" t="s">
        <v>740</v>
      </c>
      <c r="B43" s="33" t="s">
        <v>17</v>
      </c>
      <c r="C43" s="105"/>
      <c r="D43" s="105"/>
      <c r="E43" s="105"/>
      <c r="F43" s="105"/>
      <c r="G43" s="105"/>
      <c r="H43" s="106"/>
    </row>
    <row r="44" spans="1:8" ht="28.8">
      <c r="A44" s="28" t="s">
        <v>740</v>
      </c>
      <c r="B44" s="34" t="s">
        <v>720</v>
      </c>
      <c r="C44" s="107"/>
      <c r="D44" s="107"/>
      <c r="E44" s="107"/>
      <c r="F44" s="107"/>
      <c r="G44" s="107"/>
      <c r="H44" s="106"/>
    </row>
    <row r="45" spans="1:8" ht="28.8">
      <c r="A45" s="28" t="s">
        <v>740</v>
      </c>
      <c r="B45" s="35" t="s">
        <v>721</v>
      </c>
      <c r="C45" s="109"/>
      <c r="D45" s="109"/>
      <c r="E45" s="109"/>
      <c r="F45" s="109"/>
      <c r="G45" s="109"/>
      <c r="H45" s="106"/>
    </row>
    <row r="46" spans="1:8" ht="28.8">
      <c r="A46" s="28" t="s">
        <v>740</v>
      </c>
      <c r="B46" s="21"/>
      <c r="C46" s="110"/>
      <c r="D46" s="110"/>
      <c r="E46" s="110"/>
      <c r="F46" s="110"/>
      <c r="G46" s="110"/>
      <c r="H46" s="106"/>
    </row>
    <row r="47" spans="1:8">
      <c r="A47" s="37" t="s">
        <v>722</v>
      </c>
      <c r="B47" s="38"/>
      <c r="C47" s="107">
        <f t="shared" ref="C47:H47" si="0">SUM(C43:C46)</f>
        <v>0</v>
      </c>
      <c r="D47" s="108">
        <f t="shared" si="0"/>
        <v>0</v>
      </c>
      <c r="E47" s="108">
        <f t="shared" si="0"/>
        <v>0</v>
      </c>
      <c r="F47" s="108">
        <f t="shared" si="0"/>
        <v>0</v>
      </c>
      <c r="G47" s="108">
        <f t="shared" si="0"/>
        <v>0</v>
      </c>
      <c r="H47" s="108">
        <f t="shared" si="0"/>
        <v>0</v>
      </c>
    </row>
  </sheetData>
  <protectedRanges>
    <protectedRange sqref="H13" name="Rango1"/>
  </protectedRanges>
  <mergeCells count="7">
    <mergeCell ref="A9:J9"/>
    <mergeCell ref="A10:J10"/>
    <mergeCell ref="A41:A42"/>
    <mergeCell ref="B41:B42"/>
    <mergeCell ref="C41:C42"/>
    <mergeCell ref="D41:G41"/>
    <mergeCell ref="H41:H42"/>
  </mergeCells>
  <dataValidations count="3">
    <dataValidation type="list" allowBlank="1" showInputMessage="1" showErrorMessage="1" sqref="G14:G30" xr:uid="{E82177E0-EFC0-43BE-AD96-618B5A773712}">
      <formula1>"Ejecutado, No ejecutado, En Proceso"</formula1>
    </dataValidation>
    <dataValidation type="date" allowBlank="1" showInputMessage="1" showErrorMessage="1" sqref="F14:F30" xr:uid="{D22F469E-CF2A-48E4-9E3F-3FF57356C22E}">
      <formula1>45931</formula1>
      <formula2>46022</formula2>
    </dataValidation>
    <dataValidation type="list" allowBlank="1" showInputMessage="1" showErrorMessage="1" sqref="D14:D30" xr:uid="{A22972F7-0491-4342-A3A1-8647B5AC1F0B}">
      <formula1>"Ydany Pascal, Yudelis García "</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25AB1-9B15-40E2-BF74-AAD16F85F942}">
  <sheetPr>
    <tabColor rgb="FF00B050"/>
  </sheetPr>
  <dimension ref="A6:J38"/>
  <sheetViews>
    <sheetView topLeftCell="C4" workbookViewId="0">
      <selection activeCell="B13" sqref="B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1.4414062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84" t="s">
        <v>9</v>
      </c>
      <c r="H13" s="283" t="s">
        <v>710</v>
      </c>
      <c r="I13" s="282" t="s">
        <v>10</v>
      </c>
    </row>
    <row r="14" spans="1:10" ht="28.8">
      <c r="A14" s="28" t="s">
        <v>300</v>
      </c>
      <c r="B14" s="32" t="s">
        <v>301</v>
      </c>
      <c r="C14" s="32" t="s">
        <v>302</v>
      </c>
      <c r="D14" s="32" t="s">
        <v>303</v>
      </c>
      <c r="E14" s="7"/>
      <c r="F14" s="8">
        <v>45933</v>
      </c>
      <c r="G14" s="285" t="s">
        <v>47</v>
      </c>
      <c r="H14" s="47"/>
      <c r="I14" s="96"/>
    </row>
    <row r="15" spans="1:10" ht="28.8">
      <c r="A15" s="28" t="s">
        <v>300</v>
      </c>
      <c r="B15" s="29" t="s">
        <v>301</v>
      </c>
      <c r="C15" s="29"/>
      <c r="D15" s="29"/>
      <c r="E15" s="9"/>
      <c r="F15" s="18">
        <v>45932</v>
      </c>
      <c r="G15" s="286"/>
      <c r="H15" s="47"/>
      <c r="I15" s="97"/>
    </row>
    <row r="16" spans="1:10" ht="158.4">
      <c r="A16" s="28" t="s">
        <v>300</v>
      </c>
      <c r="B16" s="29" t="s">
        <v>304</v>
      </c>
      <c r="C16" s="29" t="s">
        <v>305</v>
      </c>
      <c r="D16" s="29" t="s">
        <v>303</v>
      </c>
      <c r="E16" s="9" t="s">
        <v>306</v>
      </c>
      <c r="F16" s="18">
        <v>45933</v>
      </c>
      <c r="G16" s="286" t="s">
        <v>47</v>
      </c>
      <c r="H16" s="47"/>
      <c r="I16" s="97" t="s">
        <v>307</v>
      </c>
    </row>
    <row r="17" spans="1:9" ht="115.2">
      <c r="A17" s="28" t="s">
        <v>300</v>
      </c>
      <c r="B17" s="29" t="s">
        <v>308</v>
      </c>
      <c r="C17" s="29" t="s">
        <v>309</v>
      </c>
      <c r="D17" s="29"/>
      <c r="E17" s="9" t="s">
        <v>310</v>
      </c>
      <c r="F17" s="18">
        <v>45934</v>
      </c>
      <c r="G17" s="286" t="s">
        <v>47</v>
      </c>
      <c r="H17" s="47"/>
      <c r="I17" s="97" t="s">
        <v>311</v>
      </c>
    </row>
    <row r="18" spans="1:9" ht="43.2">
      <c r="A18" s="28" t="s">
        <v>300</v>
      </c>
      <c r="B18" s="29" t="s">
        <v>312</v>
      </c>
      <c r="C18" s="29" t="s">
        <v>302</v>
      </c>
      <c r="D18" s="29" t="s">
        <v>303</v>
      </c>
      <c r="E18" s="9" t="s">
        <v>313</v>
      </c>
      <c r="F18" s="18">
        <v>45935</v>
      </c>
      <c r="G18" s="286"/>
      <c r="H18" s="47"/>
      <c r="I18" s="97"/>
    </row>
    <row r="19" spans="1:9" ht="28.8">
      <c r="A19" s="28" t="s">
        <v>300</v>
      </c>
      <c r="B19" s="29"/>
      <c r="C19" s="29"/>
      <c r="D19" s="29"/>
      <c r="E19" s="9"/>
      <c r="F19" s="18"/>
      <c r="G19" s="286"/>
      <c r="H19" s="47"/>
      <c r="I19" s="97"/>
    </row>
    <row r="20" spans="1:9" ht="28.8">
      <c r="A20" s="28" t="s">
        <v>300</v>
      </c>
      <c r="B20" s="29"/>
      <c r="C20" s="29"/>
      <c r="D20" s="29"/>
      <c r="E20" s="9"/>
      <c r="F20" s="18"/>
      <c r="G20" s="286"/>
      <c r="H20" s="47"/>
      <c r="I20" s="97"/>
    </row>
    <row r="21" spans="1:9">
      <c r="A21" s="28"/>
      <c r="B21" s="29"/>
      <c r="C21" s="29"/>
      <c r="D21" s="29"/>
      <c r="E21" s="9"/>
      <c r="F21" s="18"/>
      <c r="G21" s="286"/>
      <c r="H21" s="47"/>
      <c r="I21" s="97"/>
    </row>
    <row r="30" spans="1:9" ht="21">
      <c r="A30" s="12"/>
      <c r="B30" s="13" t="s">
        <v>711</v>
      </c>
      <c r="C30" s="14"/>
      <c r="D30" s="14"/>
      <c r="E30" s="12"/>
      <c r="F30" s="12"/>
      <c r="G30" s="12"/>
    </row>
    <row r="32" spans="1:9" ht="15.6">
      <c r="A32" s="369" t="s">
        <v>3</v>
      </c>
      <c r="B32" s="366" t="s">
        <v>712</v>
      </c>
      <c r="C32" s="364" t="s">
        <v>713</v>
      </c>
      <c r="D32" s="361" t="s">
        <v>714</v>
      </c>
      <c r="E32" s="362"/>
      <c r="F32" s="362"/>
      <c r="G32" s="363"/>
      <c r="H32" s="364" t="s">
        <v>715</v>
      </c>
    </row>
    <row r="33" spans="1:8" ht="46.8">
      <c r="A33" s="370"/>
      <c r="B33" s="367"/>
      <c r="C33" s="368"/>
      <c r="D33" s="15" t="s">
        <v>716</v>
      </c>
      <c r="E33" s="15" t="s">
        <v>717</v>
      </c>
      <c r="F33" s="16" t="s">
        <v>718</v>
      </c>
      <c r="G33" s="16" t="s">
        <v>719</v>
      </c>
      <c r="H33" s="365"/>
    </row>
    <row r="34" spans="1:8" ht="28.8">
      <c r="A34" s="6" t="s">
        <v>300</v>
      </c>
      <c r="B34" s="33" t="s">
        <v>17</v>
      </c>
      <c r="C34" s="105"/>
      <c r="D34" s="105"/>
      <c r="E34" s="105"/>
      <c r="F34" s="105"/>
      <c r="G34" s="105"/>
      <c r="H34" s="106"/>
    </row>
    <row r="35" spans="1:8" ht="28.8">
      <c r="A35" s="6" t="s">
        <v>300</v>
      </c>
      <c r="B35" s="34" t="s">
        <v>720</v>
      </c>
      <c r="C35" s="107"/>
      <c r="D35" s="107"/>
      <c r="E35" s="107"/>
      <c r="F35" s="107"/>
      <c r="G35" s="107"/>
      <c r="H35" s="106"/>
    </row>
    <row r="36" spans="1:8" ht="28.8">
      <c r="A36" s="6" t="s">
        <v>300</v>
      </c>
      <c r="B36" s="35" t="s">
        <v>721</v>
      </c>
      <c r="C36" s="109"/>
      <c r="D36" s="109"/>
      <c r="E36" s="109"/>
      <c r="F36" s="109"/>
      <c r="G36" s="109"/>
      <c r="H36" s="106"/>
    </row>
    <row r="37" spans="1:8" ht="28.8">
      <c r="A37" s="6" t="s">
        <v>300</v>
      </c>
      <c r="B37" s="21"/>
      <c r="C37" s="110"/>
      <c r="D37" s="110"/>
      <c r="E37" s="110"/>
      <c r="F37" s="110"/>
      <c r="G37" s="110"/>
      <c r="H37" s="106"/>
    </row>
    <row r="38" spans="1:8">
      <c r="A38" s="37" t="s">
        <v>722</v>
      </c>
      <c r="B38" s="38"/>
      <c r="C38" s="107">
        <f t="shared" ref="C38:H38" si="0">SUM(C34:C37)</f>
        <v>0</v>
      </c>
      <c r="D38" s="108">
        <f t="shared" si="0"/>
        <v>0</v>
      </c>
      <c r="E38" s="108">
        <f t="shared" si="0"/>
        <v>0</v>
      </c>
      <c r="F38" s="108">
        <f t="shared" si="0"/>
        <v>0</v>
      </c>
      <c r="G38" s="108">
        <f t="shared" si="0"/>
        <v>0</v>
      </c>
      <c r="H38" s="108">
        <f t="shared" si="0"/>
        <v>0</v>
      </c>
    </row>
  </sheetData>
  <protectedRanges>
    <protectedRange sqref="H13" name="Rango1"/>
  </protectedRanges>
  <mergeCells count="7">
    <mergeCell ref="A9:J9"/>
    <mergeCell ref="A10:J10"/>
    <mergeCell ref="A32:A33"/>
    <mergeCell ref="B32:B33"/>
    <mergeCell ref="C32:C33"/>
    <mergeCell ref="D32:G32"/>
    <mergeCell ref="H32:H33"/>
  </mergeCells>
  <dataValidations count="2">
    <dataValidation type="list" allowBlank="1" showInputMessage="1" showErrorMessage="1" sqref="G14:G21" xr:uid="{2C6E0898-84BE-4F14-9F7D-8007F49F4E3E}">
      <formula1>"Ejecutado, No ejecutado, En Proceso"</formula1>
    </dataValidation>
    <dataValidation type="list" allowBlank="1" showInputMessage="1" showErrorMessage="1" sqref="D14:D21" xr:uid="{09DECF70-3008-486C-8325-5460990CA26F}">
      <formula1>"Santa de Paula"</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E4B4D-97C8-41B6-B0B6-352A8A5A67DE}">
  <sheetPr>
    <tabColor rgb="FF00B050"/>
  </sheetPr>
  <dimension ref="A6:J46"/>
  <sheetViews>
    <sheetView topLeftCell="C28" workbookViewId="0">
      <selection activeCell="I30" sqref="I30"/>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84" t="s">
        <v>9</v>
      </c>
      <c r="H13" s="283" t="s">
        <v>710</v>
      </c>
      <c r="I13" s="282" t="s">
        <v>10</v>
      </c>
    </row>
    <row r="14" spans="1:10" ht="115.2">
      <c r="A14" s="28" t="s">
        <v>314</v>
      </c>
      <c r="B14" s="183" t="s">
        <v>315</v>
      </c>
      <c r="C14" s="184" t="s">
        <v>316</v>
      </c>
      <c r="D14" s="183" t="s">
        <v>317</v>
      </c>
      <c r="E14" s="168"/>
      <c r="F14" s="185"/>
      <c r="G14" s="322"/>
      <c r="H14" s="47"/>
      <c r="I14" s="325"/>
    </row>
    <row r="15" spans="1:10" ht="57.6">
      <c r="A15" s="28" t="s">
        <v>314</v>
      </c>
      <c r="B15" s="183" t="s">
        <v>318</v>
      </c>
      <c r="C15" s="186" t="s">
        <v>319</v>
      </c>
      <c r="D15" s="183" t="s">
        <v>317</v>
      </c>
      <c r="E15" s="168"/>
      <c r="F15" s="185"/>
      <c r="G15" s="322"/>
      <c r="H15" s="47"/>
      <c r="I15" s="325"/>
    </row>
    <row r="16" spans="1:10" ht="43.2">
      <c r="A16" s="28"/>
      <c r="B16" s="187" t="s">
        <v>320</v>
      </c>
      <c r="C16" s="187" t="s">
        <v>321</v>
      </c>
      <c r="D16" s="187" t="s">
        <v>317</v>
      </c>
      <c r="E16" s="168"/>
      <c r="F16" s="185"/>
      <c r="G16" s="322"/>
      <c r="H16" s="47"/>
      <c r="I16" s="325"/>
    </row>
    <row r="17" spans="1:9" ht="57.6">
      <c r="A17" s="28"/>
      <c r="B17" s="187" t="s">
        <v>322</v>
      </c>
      <c r="C17" s="187" t="s">
        <v>323</v>
      </c>
      <c r="D17" s="187" t="s">
        <v>317</v>
      </c>
      <c r="E17" s="168"/>
      <c r="F17" s="185"/>
      <c r="G17" s="322"/>
      <c r="H17" s="47"/>
      <c r="I17" s="325"/>
    </row>
    <row r="18" spans="1:9" ht="28.8">
      <c r="A18" s="28"/>
      <c r="B18" s="187" t="s">
        <v>324</v>
      </c>
      <c r="C18" s="187" t="s">
        <v>325</v>
      </c>
      <c r="D18" s="187" t="s">
        <v>317</v>
      </c>
      <c r="E18" s="168"/>
      <c r="F18" s="185"/>
      <c r="G18" s="322"/>
      <c r="H18" s="47"/>
      <c r="I18" s="325"/>
    </row>
    <row r="19" spans="1:9" ht="43.2">
      <c r="A19" s="28"/>
      <c r="B19" s="187" t="s">
        <v>326</v>
      </c>
      <c r="C19" s="187" t="s">
        <v>327</v>
      </c>
      <c r="D19" s="187" t="s">
        <v>317</v>
      </c>
      <c r="E19" s="168"/>
      <c r="F19" s="185"/>
      <c r="G19" s="322"/>
      <c r="H19" s="47"/>
      <c r="I19" s="325"/>
    </row>
    <row r="20" spans="1:9" ht="43.2">
      <c r="A20" s="28"/>
      <c r="B20" s="187" t="s">
        <v>328</v>
      </c>
      <c r="C20" s="187" t="s">
        <v>329</v>
      </c>
      <c r="D20" s="187" t="s">
        <v>317</v>
      </c>
      <c r="E20" s="165"/>
      <c r="F20" s="188"/>
      <c r="G20" s="323"/>
      <c r="H20" s="47"/>
      <c r="I20" s="326"/>
    </row>
    <row r="21" spans="1:9" ht="72">
      <c r="A21" s="28"/>
      <c r="B21" s="187" t="s">
        <v>330</v>
      </c>
      <c r="C21" s="187" t="s">
        <v>331</v>
      </c>
      <c r="D21" s="187" t="s">
        <v>317</v>
      </c>
      <c r="E21" s="189"/>
      <c r="F21" s="190"/>
      <c r="G21" s="324"/>
      <c r="H21" s="47"/>
      <c r="I21" s="327"/>
    </row>
    <row r="22" spans="1:9" ht="28.8">
      <c r="A22" s="144" t="s">
        <v>314</v>
      </c>
      <c r="B22" s="187" t="s">
        <v>332</v>
      </c>
      <c r="C22" s="187" t="s">
        <v>333</v>
      </c>
      <c r="D22" s="187" t="s">
        <v>317</v>
      </c>
      <c r="E22" s="189"/>
      <c r="F22" s="190"/>
      <c r="G22" s="324"/>
      <c r="H22" s="47"/>
      <c r="I22" s="327"/>
    </row>
    <row r="23" spans="1:9" ht="57.6">
      <c r="A23" s="31" t="s">
        <v>314</v>
      </c>
      <c r="B23" s="164" t="s">
        <v>334</v>
      </c>
      <c r="C23" s="164" t="s">
        <v>335</v>
      </c>
      <c r="D23" s="164" t="s">
        <v>317</v>
      </c>
      <c r="E23" s="189"/>
      <c r="F23" s="190"/>
      <c r="G23" s="324"/>
      <c r="H23" s="47"/>
      <c r="I23" s="327"/>
    </row>
    <row r="24" spans="1:9" ht="86.4">
      <c r="A24" s="31" t="s">
        <v>314</v>
      </c>
      <c r="B24" s="192" t="s">
        <v>336</v>
      </c>
      <c r="C24" s="192" t="s">
        <v>337</v>
      </c>
      <c r="D24" s="193" t="s">
        <v>317</v>
      </c>
      <c r="E24" s="195" t="s">
        <v>338</v>
      </c>
      <c r="F24" s="190">
        <v>45941</v>
      </c>
      <c r="G24" s="324"/>
      <c r="H24" s="47"/>
      <c r="I24" s="327"/>
    </row>
    <row r="25" spans="1:9" ht="43.2">
      <c r="A25" s="31" t="s">
        <v>314</v>
      </c>
      <c r="B25" s="192" t="s">
        <v>339</v>
      </c>
      <c r="C25" s="192" t="s">
        <v>340</v>
      </c>
      <c r="D25" s="193" t="s">
        <v>317</v>
      </c>
      <c r="E25" s="189"/>
      <c r="F25" s="190"/>
      <c r="G25" s="324"/>
      <c r="H25" s="47"/>
      <c r="I25" s="327"/>
    </row>
    <row r="26" spans="1:9" ht="57.6">
      <c r="A26" s="31" t="s">
        <v>314</v>
      </c>
      <c r="B26" s="192" t="s">
        <v>341</v>
      </c>
      <c r="C26" s="192" t="s">
        <v>342</v>
      </c>
      <c r="D26" s="193" t="s">
        <v>317</v>
      </c>
      <c r="E26" s="189"/>
      <c r="F26" s="190"/>
      <c r="G26" s="324"/>
      <c r="H26" s="47"/>
      <c r="I26" s="327"/>
    </row>
    <row r="27" spans="1:9" ht="100.8">
      <c r="A27" s="31" t="s">
        <v>314</v>
      </c>
      <c r="B27" s="192" t="s">
        <v>343</v>
      </c>
      <c r="C27" s="192" t="s">
        <v>344</v>
      </c>
      <c r="D27" s="192" t="s">
        <v>317</v>
      </c>
      <c r="E27" s="189"/>
      <c r="F27" s="190"/>
      <c r="G27" s="324"/>
      <c r="H27" s="47"/>
      <c r="I27" s="327"/>
    </row>
    <row r="28" spans="1:9" ht="115.2">
      <c r="A28" s="31" t="s">
        <v>345</v>
      </c>
      <c r="B28" s="192" t="s">
        <v>346</v>
      </c>
      <c r="C28" s="194" t="s">
        <v>347</v>
      </c>
      <c r="D28" s="192" t="s">
        <v>317</v>
      </c>
      <c r="E28" s="189"/>
      <c r="F28" s="190"/>
      <c r="G28" s="324"/>
      <c r="H28" s="47"/>
      <c r="I28" s="327"/>
    </row>
    <row r="29" spans="1:9" ht="100.8">
      <c r="A29" s="90" t="s">
        <v>314</v>
      </c>
      <c r="B29" s="194" t="s">
        <v>348</v>
      </c>
      <c r="C29" s="194" t="s">
        <v>349</v>
      </c>
      <c r="D29" s="194" t="s">
        <v>317</v>
      </c>
      <c r="E29" s="247" t="s">
        <v>350</v>
      </c>
      <c r="F29" s="248">
        <v>45939</v>
      </c>
      <c r="G29" s="351" t="s">
        <v>47</v>
      </c>
      <c r="H29" s="224"/>
      <c r="I29" s="352" t="s">
        <v>741</v>
      </c>
    </row>
    <row r="30" spans="1:9" ht="84.75" customHeight="1">
      <c r="A30" s="347" t="s">
        <v>314</v>
      </c>
      <c r="B30" s="348" t="s">
        <v>742</v>
      </c>
      <c r="C30" s="349">
        <v>1</v>
      </c>
      <c r="D30" s="346" t="s">
        <v>743</v>
      </c>
      <c r="E30" s="353" t="s">
        <v>744</v>
      </c>
      <c r="F30" s="350">
        <v>45951</v>
      </c>
      <c r="G30" s="347" t="s">
        <v>745</v>
      </c>
      <c r="H30" s="347"/>
      <c r="I30" s="348" t="s">
        <v>746</v>
      </c>
    </row>
    <row r="31" spans="1:9" ht="15.6">
      <c r="C31" s="345" t="s">
        <v>152</v>
      </c>
    </row>
    <row r="32" spans="1:9" ht="124.8">
      <c r="C32" s="345">
        <v>2</v>
      </c>
      <c r="D32" s="345" t="s">
        <v>747</v>
      </c>
    </row>
    <row r="38" spans="1:8" ht="21">
      <c r="A38" s="12"/>
      <c r="B38" s="13" t="s">
        <v>711</v>
      </c>
      <c r="C38" s="14"/>
      <c r="D38" s="14"/>
      <c r="E38" s="12"/>
      <c r="F38" s="12"/>
      <c r="G38" s="12"/>
    </row>
    <row r="40" spans="1:8" ht="15.6">
      <c r="A40" s="369" t="s">
        <v>3</v>
      </c>
      <c r="B40" s="366" t="s">
        <v>712</v>
      </c>
      <c r="C40" s="364" t="s">
        <v>713</v>
      </c>
      <c r="D40" s="361" t="s">
        <v>714</v>
      </c>
      <c r="E40" s="362"/>
      <c r="F40" s="362"/>
      <c r="G40" s="363"/>
      <c r="H40" s="364" t="s">
        <v>715</v>
      </c>
    </row>
    <row r="41" spans="1:8" ht="46.8">
      <c r="A41" s="370"/>
      <c r="B41" s="367"/>
      <c r="C41" s="368"/>
      <c r="D41" s="15" t="s">
        <v>716</v>
      </c>
      <c r="E41" s="15" t="s">
        <v>717</v>
      </c>
      <c r="F41" s="16" t="s">
        <v>718</v>
      </c>
      <c r="G41" s="16" t="s">
        <v>719</v>
      </c>
      <c r="H41" s="365"/>
    </row>
    <row r="42" spans="1:8">
      <c r="A42" s="68" t="s">
        <v>314</v>
      </c>
      <c r="B42" s="44" t="s">
        <v>17</v>
      </c>
      <c r="C42" s="145"/>
      <c r="D42" s="105"/>
      <c r="E42" s="105"/>
      <c r="F42" s="105"/>
      <c r="G42" s="105"/>
      <c r="H42" s="106"/>
    </row>
    <row r="43" spans="1:8">
      <c r="A43" s="6" t="s">
        <v>314</v>
      </c>
      <c r="B43" s="33" t="s">
        <v>720</v>
      </c>
      <c r="C43" s="108"/>
      <c r="D43" s="107"/>
      <c r="E43" s="107"/>
      <c r="F43" s="107"/>
      <c r="G43" s="107"/>
      <c r="H43" s="106"/>
    </row>
    <row r="44" spans="1:8" ht="86.4">
      <c r="A44" s="6" t="s">
        <v>314</v>
      </c>
      <c r="B44" s="35" t="s">
        <v>721</v>
      </c>
      <c r="C44" s="145">
        <v>1</v>
      </c>
      <c r="D44" s="146" t="s">
        <v>748</v>
      </c>
      <c r="E44" s="109"/>
      <c r="F44" s="109"/>
      <c r="G44" s="109"/>
      <c r="H44" s="106">
        <v>17</v>
      </c>
    </row>
    <row r="45" spans="1:8">
      <c r="A45" s="6" t="s">
        <v>314</v>
      </c>
      <c r="B45" s="21"/>
      <c r="C45" s="110"/>
      <c r="D45" s="110"/>
      <c r="E45" s="110"/>
      <c r="F45" s="110"/>
      <c r="G45" s="110"/>
      <c r="H45" s="106"/>
    </row>
    <row r="46" spans="1:8">
      <c r="A46" s="37" t="s">
        <v>722</v>
      </c>
      <c r="B46" s="38"/>
      <c r="C46" s="107">
        <f>SUM(C42:C45)</f>
        <v>1</v>
      </c>
      <c r="D46" s="108">
        <v>17</v>
      </c>
      <c r="E46" s="108">
        <f>SUM(E42:E45)</f>
        <v>0</v>
      </c>
      <c r="F46" s="108">
        <f>SUM(F42:F45)</f>
        <v>0</v>
      </c>
      <c r="G46" s="108">
        <f>SUM(G42:G45)</f>
        <v>0</v>
      </c>
      <c r="H46" s="108">
        <f>SUM(H42:H45)</f>
        <v>17</v>
      </c>
    </row>
  </sheetData>
  <protectedRanges>
    <protectedRange sqref="H13" name="Rango1"/>
  </protectedRanges>
  <mergeCells count="7">
    <mergeCell ref="A9:J9"/>
    <mergeCell ref="A10:J10"/>
    <mergeCell ref="A40:A41"/>
    <mergeCell ref="B40:B41"/>
    <mergeCell ref="C40:C41"/>
    <mergeCell ref="D40:G40"/>
    <mergeCell ref="H40:H41"/>
  </mergeCells>
  <dataValidations count="3">
    <dataValidation type="list" allowBlank="1" showInputMessage="1" showErrorMessage="1" sqref="G14:G29" xr:uid="{F8FE6A89-54E6-4E23-B166-C4E825745DFE}">
      <formula1>"Ejecutado, No ejecutado, En Proceso"</formula1>
    </dataValidation>
    <dataValidation type="date" allowBlank="1" showInputMessage="1" showErrorMessage="1" sqref="F14:F29" xr:uid="{1C1DF368-96B3-4A0F-8FFF-8EC042222751}">
      <formula1>45931</formula1>
      <formula2>46022</formula2>
    </dataValidation>
    <dataValidation type="list" allowBlank="1" showInputMessage="1" showErrorMessage="1" sqref="D14:D29" xr:uid="{F1ABC45D-558E-4ECA-AAB2-E227D135FFC4}">
      <formula1>"Maricela Guerrero "</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12C9-EFD7-4B52-B096-664605355691}">
  <sheetPr>
    <tabColor rgb="FF00B050"/>
  </sheetPr>
  <dimension ref="A6:J43"/>
  <sheetViews>
    <sheetView topLeftCell="C1" workbookViewId="0">
      <selection activeCell="H13" sqref="H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4.55468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84" t="s">
        <v>9</v>
      </c>
      <c r="H13" s="283" t="s">
        <v>710</v>
      </c>
      <c r="I13" s="282" t="s">
        <v>10</v>
      </c>
    </row>
    <row r="14" spans="1:10" ht="100.8">
      <c r="A14" s="122" t="s">
        <v>352</v>
      </c>
      <c r="B14" s="159" t="s">
        <v>353</v>
      </c>
      <c r="C14" s="123" t="s">
        <v>354</v>
      </c>
      <c r="D14" s="123" t="s">
        <v>355</v>
      </c>
      <c r="E14" s="124" t="s">
        <v>356</v>
      </c>
      <c r="F14" s="125">
        <v>46011</v>
      </c>
      <c r="G14" s="328"/>
      <c r="H14" s="47"/>
      <c r="I14" s="331"/>
    </row>
    <row r="15" spans="1:10" ht="115.2">
      <c r="A15" s="122" t="s">
        <v>352</v>
      </c>
      <c r="B15" s="160" t="s">
        <v>357</v>
      </c>
      <c r="C15" s="161" t="s">
        <v>358</v>
      </c>
      <c r="D15" s="123" t="s">
        <v>355</v>
      </c>
      <c r="E15" s="162" t="s">
        <v>359</v>
      </c>
      <c r="F15" s="125">
        <v>46012</v>
      </c>
      <c r="G15" s="329"/>
      <c r="H15" s="47"/>
      <c r="I15" s="332"/>
    </row>
    <row r="16" spans="1:10" ht="100.8">
      <c r="A16" s="122" t="s">
        <v>352</v>
      </c>
      <c r="B16" s="160" t="s">
        <v>360</v>
      </c>
      <c r="C16" s="161" t="s">
        <v>361</v>
      </c>
      <c r="D16" s="123" t="s">
        <v>355</v>
      </c>
      <c r="E16" s="162" t="s">
        <v>362</v>
      </c>
      <c r="F16" s="125">
        <v>46013</v>
      </c>
      <c r="G16" s="329"/>
      <c r="H16" s="47"/>
      <c r="I16" s="332"/>
    </row>
    <row r="17" spans="1:9" ht="86.4">
      <c r="A17" s="122" t="s">
        <v>352</v>
      </c>
      <c r="B17" s="160" t="s">
        <v>363</v>
      </c>
      <c r="C17" s="161" t="s">
        <v>364</v>
      </c>
      <c r="D17" s="123" t="s">
        <v>355</v>
      </c>
      <c r="E17" s="162" t="s">
        <v>359</v>
      </c>
      <c r="F17" s="125">
        <v>46014</v>
      </c>
      <c r="G17" s="329"/>
      <c r="H17" s="47"/>
      <c r="I17" s="332"/>
    </row>
    <row r="18" spans="1:9" ht="86.4">
      <c r="A18" s="122" t="s">
        <v>352</v>
      </c>
      <c r="B18" s="160" t="s">
        <v>365</v>
      </c>
      <c r="C18" s="161" t="s">
        <v>366</v>
      </c>
      <c r="D18" s="123" t="s">
        <v>355</v>
      </c>
      <c r="E18" s="162" t="s">
        <v>362</v>
      </c>
      <c r="F18" s="125">
        <v>46015</v>
      </c>
      <c r="G18" s="329"/>
      <c r="H18" s="47"/>
      <c r="I18" s="332"/>
    </row>
    <row r="19" spans="1:9" ht="86.4">
      <c r="A19" s="122" t="s">
        <v>352</v>
      </c>
      <c r="B19" s="160" t="s">
        <v>367</v>
      </c>
      <c r="C19" s="161" t="s">
        <v>368</v>
      </c>
      <c r="D19" s="123" t="s">
        <v>355</v>
      </c>
      <c r="E19" s="162" t="s">
        <v>359</v>
      </c>
      <c r="F19" s="125">
        <v>46016</v>
      </c>
      <c r="G19" s="329"/>
      <c r="H19" s="47"/>
      <c r="I19" s="332"/>
    </row>
    <row r="20" spans="1:9" ht="86.4">
      <c r="A20" s="122" t="s">
        <v>352</v>
      </c>
      <c r="B20" s="160" t="s">
        <v>369</v>
      </c>
      <c r="C20" s="161" t="s">
        <v>370</v>
      </c>
      <c r="D20" s="123" t="s">
        <v>355</v>
      </c>
      <c r="E20" s="124" t="s">
        <v>356</v>
      </c>
      <c r="F20" s="125">
        <v>46017</v>
      </c>
      <c r="G20" s="329"/>
      <c r="H20" s="47"/>
      <c r="I20" s="332"/>
    </row>
    <row r="21" spans="1:9" ht="86.4">
      <c r="A21" s="122" t="s">
        <v>352</v>
      </c>
      <c r="B21" s="160" t="s">
        <v>371</v>
      </c>
      <c r="C21" s="161" t="s">
        <v>372</v>
      </c>
      <c r="D21" s="123" t="s">
        <v>355</v>
      </c>
      <c r="E21" s="124" t="s">
        <v>356</v>
      </c>
      <c r="F21" s="125">
        <v>46018</v>
      </c>
      <c r="G21" s="329"/>
      <c r="H21" s="47"/>
      <c r="I21" s="332"/>
    </row>
    <row r="22" spans="1:9" ht="86.4">
      <c r="A22" s="122" t="s">
        <v>352</v>
      </c>
      <c r="B22" s="160" t="s">
        <v>373</v>
      </c>
      <c r="C22" s="161" t="s">
        <v>374</v>
      </c>
      <c r="D22" s="123" t="s">
        <v>355</v>
      </c>
      <c r="E22" s="124" t="s">
        <v>375</v>
      </c>
      <c r="F22" s="125">
        <v>46019</v>
      </c>
      <c r="G22" s="329"/>
      <c r="H22" s="47"/>
      <c r="I22" s="332"/>
    </row>
    <row r="23" spans="1:9" ht="72">
      <c r="A23" s="122" t="s">
        <v>352</v>
      </c>
      <c r="B23" s="160" t="s">
        <v>376</v>
      </c>
      <c r="C23" s="161" t="s">
        <v>377</v>
      </c>
      <c r="D23" s="123" t="s">
        <v>355</v>
      </c>
      <c r="E23" s="124" t="s">
        <v>375</v>
      </c>
      <c r="F23" s="125">
        <v>46020</v>
      </c>
      <c r="G23" s="329"/>
      <c r="H23" s="47"/>
      <c r="I23" s="332"/>
    </row>
    <row r="24" spans="1:9" ht="86.4">
      <c r="A24" s="28" t="s">
        <v>352</v>
      </c>
      <c r="B24" s="163" t="s">
        <v>378</v>
      </c>
      <c r="C24" s="164" t="s">
        <v>379</v>
      </c>
      <c r="D24" s="123" t="s">
        <v>355</v>
      </c>
      <c r="E24" s="165" t="s">
        <v>359</v>
      </c>
      <c r="F24" s="125">
        <v>46021</v>
      </c>
      <c r="G24" s="323"/>
      <c r="H24" s="47"/>
      <c r="I24" s="326"/>
    </row>
    <row r="25" spans="1:9" ht="135" customHeight="1">
      <c r="A25" s="28" t="s">
        <v>352</v>
      </c>
      <c r="B25" s="165" t="s">
        <v>380</v>
      </c>
      <c r="C25" s="165" t="s">
        <v>381</v>
      </c>
      <c r="D25" s="167" t="s">
        <v>382</v>
      </c>
      <c r="E25" s="168" t="s">
        <v>383</v>
      </c>
      <c r="F25" s="169">
        <v>45931</v>
      </c>
      <c r="G25" s="322"/>
      <c r="H25" s="47"/>
      <c r="I25" s="325"/>
    </row>
    <row r="26" spans="1:9" ht="165" customHeight="1">
      <c r="A26" s="67" t="s">
        <v>352</v>
      </c>
      <c r="B26" s="172" t="s">
        <v>384</v>
      </c>
      <c r="C26" s="168" t="s">
        <v>385</v>
      </c>
      <c r="D26" s="167" t="s">
        <v>382</v>
      </c>
      <c r="E26" s="168" t="s">
        <v>383</v>
      </c>
      <c r="F26" s="169">
        <v>45964</v>
      </c>
      <c r="G26" s="322"/>
      <c r="H26" s="47"/>
      <c r="I26" s="325"/>
    </row>
    <row r="27" spans="1:9" ht="125.25" customHeight="1">
      <c r="A27" s="67" t="s">
        <v>352</v>
      </c>
      <c r="B27" s="175" t="s">
        <v>386</v>
      </c>
      <c r="C27" s="165" t="s">
        <v>387</v>
      </c>
      <c r="D27" s="167" t="s">
        <v>382</v>
      </c>
      <c r="E27" s="168" t="s">
        <v>359</v>
      </c>
      <c r="F27" s="169">
        <v>46021</v>
      </c>
      <c r="G27" s="322"/>
      <c r="H27" s="47"/>
      <c r="I27" s="325"/>
    </row>
    <row r="28" spans="1:9" ht="115.2">
      <c r="A28" s="76" t="s">
        <v>352</v>
      </c>
      <c r="B28" s="9" t="s">
        <v>388</v>
      </c>
      <c r="C28" s="9" t="s">
        <v>389</v>
      </c>
      <c r="D28" s="167" t="s">
        <v>382</v>
      </c>
      <c r="E28" s="168"/>
      <c r="F28" s="169">
        <v>46021</v>
      </c>
      <c r="G28" s="322"/>
      <c r="H28" s="47"/>
      <c r="I28" s="325"/>
    </row>
    <row r="29" spans="1:9">
      <c r="A29" s="176"/>
      <c r="B29" s="176"/>
      <c r="C29" s="176"/>
      <c r="D29" s="171"/>
      <c r="E29" s="171"/>
      <c r="F29" s="171"/>
      <c r="G29" s="330"/>
      <c r="H29" s="47"/>
      <c r="I29" s="333"/>
    </row>
    <row r="35" spans="1:8" ht="21">
      <c r="B35" s="12"/>
      <c r="C35" s="13" t="s">
        <v>711</v>
      </c>
      <c r="D35" s="14"/>
      <c r="E35" s="14"/>
      <c r="F35" s="12"/>
      <c r="G35" s="12"/>
      <c r="H35" s="12"/>
    </row>
    <row r="37" spans="1:8" ht="15.6">
      <c r="A37" s="369" t="s">
        <v>3</v>
      </c>
      <c r="B37" s="366" t="s">
        <v>712</v>
      </c>
      <c r="C37" s="364" t="s">
        <v>713</v>
      </c>
      <c r="D37" s="361" t="s">
        <v>714</v>
      </c>
      <c r="E37" s="362"/>
      <c r="F37" s="362"/>
      <c r="G37" s="363"/>
      <c r="H37" s="364" t="s">
        <v>715</v>
      </c>
    </row>
    <row r="38" spans="1:8" ht="46.8">
      <c r="A38" s="370"/>
      <c r="B38" s="367"/>
      <c r="C38" s="368"/>
      <c r="D38" s="15" t="s">
        <v>716</v>
      </c>
      <c r="E38" s="15" t="s">
        <v>717</v>
      </c>
      <c r="F38" s="16" t="s">
        <v>718</v>
      </c>
      <c r="G38" s="16" t="s">
        <v>719</v>
      </c>
      <c r="H38" s="365"/>
    </row>
    <row r="39" spans="1:8">
      <c r="A39" s="6" t="s">
        <v>352</v>
      </c>
      <c r="B39" s="33" t="s">
        <v>17</v>
      </c>
      <c r="C39" s="105"/>
      <c r="D39" s="105"/>
      <c r="E39" s="105"/>
      <c r="F39" s="105"/>
      <c r="G39" s="105"/>
      <c r="H39" s="106"/>
    </row>
    <row r="40" spans="1:8">
      <c r="A40" s="6" t="s">
        <v>352</v>
      </c>
      <c r="B40" s="34" t="s">
        <v>720</v>
      </c>
      <c r="C40" s="107"/>
      <c r="D40" s="107"/>
      <c r="E40" s="107"/>
      <c r="F40" s="107"/>
      <c r="G40" s="107"/>
      <c r="H40" s="106"/>
    </row>
    <row r="41" spans="1:8">
      <c r="A41" s="6" t="s">
        <v>352</v>
      </c>
      <c r="B41" s="35" t="s">
        <v>721</v>
      </c>
      <c r="C41" s="109"/>
      <c r="D41" s="109"/>
      <c r="E41" s="109"/>
      <c r="F41" s="109"/>
      <c r="G41" s="109"/>
      <c r="H41" s="106"/>
    </row>
    <row r="42" spans="1:8">
      <c r="A42" s="6" t="s">
        <v>352</v>
      </c>
      <c r="B42" s="21"/>
      <c r="C42" s="110"/>
      <c r="D42" s="110"/>
      <c r="E42" s="110"/>
      <c r="F42" s="110"/>
      <c r="G42" s="110"/>
      <c r="H42" s="106"/>
    </row>
    <row r="43" spans="1:8">
      <c r="A43" s="37" t="s">
        <v>722</v>
      </c>
      <c r="B43" s="38"/>
      <c r="C43" s="107">
        <f t="shared" ref="C43:H43" si="0">SUM(C39:C42)</f>
        <v>0</v>
      </c>
      <c r="D43" s="108">
        <f t="shared" si="0"/>
        <v>0</v>
      </c>
      <c r="E43" s="108">
        <f t="shared" si="0"/>
        <v>0</v>
      </c>
      <c r="F43" s="108">
        <f t="shared" si="0"/>
        <v>0</v>
      </c>
      <c r="G43" s="108">
        <f t="shared" si="0"/>
        <v>0</v>
      </c>
      <c r="H43" s="108">
        <f t="shared" si="0"/>
        <v>0</v>
      </c>
    </row>
  </sheetData>
  <protectedRanges>
    <protectedRange sqref="H13" name="Rango1"/>
  </protectedRanges>
  <mergeCells count="7">
    <mergeCell ref="A9:J9"/>
    <mergeCell ref="A10:J10"/>
    <mergeCell ref="A37:A38"/>
    <mergeCell ref="B37:B38"/>
    <mergeCell ref="C37:C38"/>
    <mergeCell ref="D37:G37"/>
    <mergeCell ref="H37:H38"/>
  </mergeCells>
  <dataValidations count="3">
    <dataValidation type="list" allowBlank="1" showInputMessage="1" showErrorMessage="1" sqref="G14:G28" xr:uid="{E8414947-1E2F-4C4E-9643-45BE3DB18ADB}">
      <formula1>"Ejecutado, No ejecutado, En Proceso"</formula1>
    </dataValidation>
    <dataValidation type="date" allowBlank="1" showInputMessage="1" showErrorMessage="1" sqref="F14:F28" xr:uid="{23183088-968F-4E60-9293-18B38CB43972}">
      <formula1>45931</formula1>
      <formula2>46022</formula2>
    </dataValidation>
    <dataValidation type="list" allowBlank="1" showInputMessage="1" showErrorMessage="1" sqref="D14:D28" xr:uid="{73D07036-E436-4276-8845-47D1EE0C1407}">
      <formula1>"Gladybel Lantigua, Pedro Duarte "</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2D780-CD78-474D-9155-B68F20980978}">
  <sheetPr>
    <tabColor rgb="FF00B050"/>
  </sheetPr>
  <dimension ref="A6:J48"/>
  <sheetViews>
    <sheetView topLeftCell="C1" workbookViewId="0">
      <selection activeCell="H13" sqref="H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6.55468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84" t="s">
        <v>9</v>
      </c>
      <c r="H13" s="283" t="s">
        <v>710</v>
      </c>
      <c r="I13" s="282" t="s">
        <v>10</v>
      </c>
    </row>
    <row r="14" spans="1:10" ht="86.4">
      <c r="A14" s="28" t="s">
        <v>393</v>
      </c>
      <c r="B14" s="28" t="s">
        <v>390</v>
      </c>
      <c r="C14" s="32" t="s">
        <v>391</v>
      </c>
      <c r="D14" s="32" t="s">
        <v>392</v>
      </c>
      <c r="E14" s="7"/>
      <c r="F14" s="8"/>
      <c r="G14" s="285"/>
      <c r="H14" s="47"/>
      <c r="I14" s="96"/>
    </row>
    <row r="15" spans="1:10" ht="100.8">
      <c r="A15" s="28" t="s">
        <v>393</v>
      </c>
      <c r="B15" s="28" t="s">
        <v>394</v>
      </c>
      <c r="C15" s="29" t="s">
        <v>395</v>
      </c>
      <c r="D15" s="29" t="s">
        <v>392</v>
      </c>
      <c r="E15" s="9"/>
      <c r="F15" s="18"/>
      <c r="G15" s="286"/>
      <c r="H15" s="47"/>
      <c r="I15" s="97"/>
    </row>
    <row r="16" spans="1:10" ht="57.6">
      <c r="A16" s="28" t="s">
        <v>393</v>
      </c>
      <c r="B16" s="29" t="s">
        <v>396</v>
      </c>
      <c r="C16" s="29" t="s">
        <v>397</v>
      </c>
      <c r="D16" s="29"/>
      <c r="E16" s="9"/>
      <c r="F16" s="18"/>
      <c r="G16" s="286"/>
      <c r="H16" s="47"/>
      <c r="I16" s="97"/>
    </row>
    <row r="17" spans="1:9" ht="72">
      <c r="A17" s="28" t="s">
        <v>393</v>
      </c>
      <c r="B17" s="29" t="s">
        <v>390</v>
      </c>
      <c r="C17" s="29" t="s">
        <v>398</v>
      </c>
      <c r="D17" s="29"/>
      <c r="E17" s="9"/>
      <c r="F17" s="18"/>
      <c r="G17" s="286"/>
      <c r="H17" s="47"/>
      <c r="I17" s="97"/>
    </row>
    <row r="18" spans="1:9" ht="72">
      <c r="A18" s="28" t="s">
        <v>393</v>
      </c>
      <c r="B18" s="86" t="s">
        <v>399</v>
      </c>
      <c r="C18" s="29" t="s">
        <v>400</v>
      </c>
      <c r="D18" s="29" t="s">
        <v>392</v>
      </c>
      <c r="E18" s="9"/>
      <c r="F18" s="18"/>
      <c r="G18" s="286"/>
      <c r="H18" s="47"/>
      <c r="I18" s="97"/>
    </row>
    <row r="19" spans="1:9" ht="86.4">
      <c r="A19" s="28" t="s">
        <v>393</v>
      </c>
      <c r="B19" s="29" t="s">
        <v>401</v>
      </c>
      <c r="C19" s="29" t="s">
        <v>402</v>
      </c>
      <c r="D19" s="29"/>
      <c r="E19" s="9"/>
      <c r="F19" s="18"/>
      <c r="G19" s="286"/>
      <c r="H19" s="47"/>
      <c r="I19" s="97"/>
    </row>
    <row r="20" spans="1:9" ht="115.2">
      <c r="A20" s="28" t="s">
        <v>393</v>
      </c>
      <c r="B20" s="29" t="s">
        <v>403</v>
      </c>
      <c r="C20" s="29" t="s">
        <v>404</v>
      </c>
      <c r="D20" s="29"/>
      <c r="E20" s="9"/>
      <c r="F20" s="18"/>
      <c r="G20" s="286"/>
      <c r="H20" s="47"/>
      <c r="I20" s="97"/>
    </row>
    <row r="21" spans="1:9" ht="57.6">
      <c r="A21" s="28" t="s">
        <v>393</v>
      </c>
      <c r="B21" s="87" t="s">
        <v>405</v>
      </c>
      <c r="C21" s="29" t="s">
        <v>406</v>
      </c>
      <c r="D21" s="29" t="s">
        <v>407</v>
      </c>
      <c r="E21" s="9"/>
      <c r="F21" s="18"/>
      <c r="G21" s="286"/>
      <c r="H21" s="47"/>
      <c r="I21" s="97"/>
    </row>
    <row r="22" spans="1:9" ht="86.4">
      <c r="A22" s="28" t="s">
        <v>393</v>
      </c>
      <c r="B22" s="29" t="s">
        <v>408</v>
      </c>
      <c r="C22" s="29" t="s">
        <v>409</v>
      </c>
      <c r="D22" s="29" t="s">
        <v>407</v>
      </c>
      <c r="E22" s="9"/>
      <c r="F22" s="18"/>
      <c r="G22" s="286"/>
      <c r="H22" s="47"/>
      <c r="I22" s="97"/>
    </row>
    <row r="23" spans="1:9" ht="43.2">
      <c r="A23" s="28" t="s">
        <v>393</v>
      </c>
      <c r="B23" s="29" t="s">
        <v>410</v>
      </c>
      <c r="C23" s="29" t="s">
        <v>411</v>
      </c>
      <c r="D23" s="29" t="s">
        <v>412</v>
      </c>
      <c r="E23" s="9"/>
      <c r="F23" s="18"/>
      <c r="G23" s="286"/>
      <c r="H23" s="47"/>
      <c r="I23" s="97"/>
    </row>
    <row r="24" spans="1:9" ht="86.4">
      <c r="A24" s="28" t="s">
        <v>393</v>
      </c>
      <c r="B24" s="30"/>
      <c r="C24" s="30" t="s">
        <v>413</v>
      </c>
      <c r="D24" s="30" t="s">
        <v>412</v>
      </c>
      <c r="E24" s="10"/>
      <c r="F24" s="19"/>
      <c r="G24" s="287"/>
      <c r="H24" s="47"/>
      <c r="I24" s="98"/>
    </row>
    <row r="25" spans="1:9" ht="57.6">
      <c r="A25" s="28" t="s">
        <v>393</v>
      </c>
      <c r="B25" s="88" t="s">
        <v>414</v>
      </c>
      <c r="C25" s="88" t="s">
        <v>415</v>
      </c>
      <c r="D25" s="31" t="s">
        <v>407</v>
      </c>
      <c r="E25" s="11"/>
      <c r="F25" s="20"/>
      <c r="G25" s="288"/>
      <c r="H25" s="47"/>
      <c r="I25" s="99"/>
    </row>
    <row r="26" spans="1:9" ht="28.8">
      <c r="A26" s="28" t="s">
        <v>393</v>
      </c>
      <c r="B26" s="31" t="s">
        <v>416</v>
      </c>
      <c r="C26" s="88" t="s">
        <v>417</v>
      </c>
      <c r="D26" s="31" t="s">
        <v>407</v>
      </c>
      <c r="E26" s="11"/>
      <c r="F26" s="20"/>
      <c r="G26" s="288"/>
      <c r="H26" s="47"/>
      <c r="I26" s="99"/>
    </row>
    <row r="27" spans="1:9" ht="57.6">
      <c r="A27" s="28" t="s">
        <v>393</v>
      </c>
      <c r="B27" s="90" t="s">
        <v>418</v>
      </c>
      <c r="C27" s="89" t="s">
        <v>419</v>
      </c>
      <c r="D27" s="31" t="s">
        <v>407</v>
      </c>
      <c r="E27" s="11"/>
      <c r="F27" s="20"/>
      <c r="G27" s="288"/>
      <c r="H27" s="47"/>
      <c r="I27" s="99"/>
    </row>
    <row r="28" spans="1:9" ht="60" customHeight="1">
      <c r="A28" s="67" t="s">
        <v>393</v>
      </c>
      <c r="B28" s="29" t="s">
        <v>420</v>
      </c>
      <c r="C28" s="88" t="s">
        <v>421</v>
      </c>
      <c r="D28" s="48" t="s">
        <v>392</v>
      </c>
      <c r="E28" s="11"/>
      <c r="F28" s="20"/>
      <c r="G28" s="288"/>
      <c r="H28" s="47"/>
      <c r="I28" s="99"/>
    </row>
    <row r="29" spans="1:9" ht="28.8">
      <c r="A29" s="67" t="s">
        <v>393</v>
      </c>
      <c r="B29" s="29" t="s">
        <v>422</v>
      </c>
      <c r="C29" s="88" t="s">
        <v>423</v>
      </c>
      <c r="D29" s="102" t="s">
        <v>392</v>
      </c>
      <c r="E29" s="11"/>
      <c r="F29" s="20">
        <v>45974</v>
      </c>
      <c r="G29" s="288"/>
      <c r="H29" s="47"/>
      <c r="I29" s="99"/>
    </row>
    <row r="30" spans="1:9" ht="57.6">
      <c r="A30" s="67" t="s">
        <v>393</v>
      </c>
      <c r="B30" s="30" t="s">
        <v>424</v>
      </c>
      <c r="C30" s="101" t="s">
        <v>425</v>
      </c>
      <c r="D30" s="74" t="s">
        <v>392</v>
      </c>
      <c r="E30" s="71" t="s">
        <v>426</v>
      </c>
      <c r="F30" s="20">
        <v>45937</v>
      </c>
      <c r="G30" s="288" t="s">
        <v>47</v>
      </c>
      <c r="H30" s="47"/>
      <c r="I30" s="71"/>
    </row>
    <row r="31" spans="1:9" ht="86.4">
      <c r="A31" s="76" t="s">
        <v>393</v>
      </c>
      <c r="B31" s="74" t="s">
        <v>427</v>
      </c>
      <c r="C31" s="29" t="s">
        <v>428</v>
      </c>
      <c r="D31" s="252" t="s">
        <v>392</v>
      </c>
      <c r="E31" s="99"/>
      <c r="F31" s="20"/>
      <c r="G31" s="288"/>
      <c r="H31" s="47"/>
      <c r="I31" s="71" t="s">
        <v>429</v>
      </c>
    </row>
    <row r="40" spans="1:8" ht="21">
      <c r="A40" s="12"/>
      <c r="B40" s="13" t="s">
        <v>711</v>
      </c>
      <c r="C40" s="14"/>
      <c r="D40" s="14"/>
      <c r="E40" s="12"/>
      <c r="F40" s="12"/>
      <c r="G40" s="12"/>
    </row>
    <row r="42" spans="1:8" ht="15.6">
      <c r="A42" s="369" t="s">
        <v>3</v>
      </c>
      <c r="B42" s="366" t="s">
        <v>712</v>
      </c>
      <c r="C42" s="364" t="s">
        <v>713</v>
      </c>
      <c r="D42" s="361" t="s">
        <v>714</v>
      </c>
      <c r="E42" s="362"/>
      <c r="F42" s="362"/>
      <c r="G42" s="363"/>
      <c r="H42" s="364" t="s">
        <v>715</v>
      </c>
    </row>
    <row r="43" spans="1:8" ht="46.8">
      <c r="A43" s="370"/>
      <c r="B43" s="367"/>
      <c r="C43" s="368"/>
      <c r="D43" s="15" t="s">
        <v>716</v>
      </c>
      <c r="E43" s="15" t="s">
        <v>717</v>
      </c>
      <c r="F43" s="16" t="s">
        <v>718</v>
      </c>
      <c r="G43" s="16" t="s">
        <v>719</v>
      </c>
      <c r="H43" s="365"/>
    </row>
    <row r="44" spans="1:8">
      <c r="A44" s="6" t="s">
        <v>393</v>
      </c>
      <c r="B44" s="33" t="s">
        <v>17</v>
      </c>
      <c r="C44" s="105"/>
      <c r="D44" s="105"/>
      <c r="E44" s="105"/>
      <c r="F44" s="105"/>
      <c r="G44" s="105"/>
      <c r="H44" s="106"/>
    </row>
    <row r="45" spans="1:8">
      <c r="A45" s="6" t="s">
        <v>393</v>
      </c>
      <c r="B45" s="34" t="s">
        <v>720</v>
      </c>
      <c r="C45" s="107"/>
      <c r="D45" s="107"/>
      <c r="E45" s="107"/>
      <c r="F45" s="107"/>
      <c r="G45" s="107"/>
      <c r="H45" s="106"/>
    </row>
    <row r="46" spans="1:8">
      <c r="A46" s="6" t="s">
        <v>393</v>
      </c>
      <c r="B46" s="35" t="s">
        <v>721</v>
      </c>
      <c r="C46" s="109"/>
      <c r="D46" s="109"/>
      <c r="E46" s="109"/>
      <c r="F46" s="109"/>
      <c r="G46" s="109"/>
      <c r="H46" s="106"/>
    </row>
    <row r="47" spans="1:8">
      <c r="A47" s="6" t="s">
        <v>393</v>
      </c>
      <c r="B47" s="21"/>
      <c r="C47" s="110"/>
      <c r="D47" s="110"/>
      <c r="E47" s="110"/>
      <c r="F47" s="110"/>
      <c r="G47" s="110"/>
      <c r="H47" s="106"/>
    </row>
    <row r="48" spans="1:8">
      <c r="A48" s="37" t="s">
        <v>722</v>
      </c>
      <c r="B48" s="38"/>
      <c r="C48" s="107">
        <f t="shared" ref="C48:H48" si="0">SUM(C44:C47)</f>
        <v>0</v>
      </c>
      <c r="D48" s="108">
        <f t="shared" si="0"/>
        <v>0</v>
      </c>
      <c r="E48" s="108">
        <f t="shared" si="0"/>
        <v>0</v>
      </c>
      <c r="F48" s="108">
        <f t="shared" si="0"/>
        <v>0</v>
      </c>
      <c r="G48" s="108">
        <f t="shared" si="0"/>
        <v>0</v>
      </c>
      <c r="H48" s="108">
        <f t="shared" si="0"/>
        <v>0</v>
      </c>
    </row>
  </sheetData>
  <protectedRanges>
    <protectedRange sqref="H13" name="Rango1"/>
  </protectedRanges>
  <mergeCells count="7">
    <mergeCell ref="A9:J9"/>
    <mergeCell ref="A10:J10"/>
    <mergeCell ref="A42:A43"/>
    <mergeCell ref="B42:B43"/>
    <mergeCell ref="C42:C43"/>
    <mergeCell ref="D42:G42"/>
    <mergeCell ref="H42:H43"/>
  </mergeCells>
  <dataValidations count="3">
    <dataValidation type="list" allowBlank="1" showInputMessage="1" showErrorMessage="1" sqref="G14:G31" xr:uid="{E2D887D9-72D2-4796-9454-30EB0A95F7E5}">
      <formula1>"Ejecutado, No ejecutado, En Proceso"</formula1>
    </dataValidation>
    <dataValidation type="date" allowBlank="1" showInputMessage="1" showErrorMessage="1" sqref="F14:F31" xr:uid="{41B7C6D7-7A95-40E2-B83E-1C45E6689163}">
      <formula1>45931</formula1>
      <formula2>46022</formula2>
    </dataValidation>
    <dataValidation type="list" allowBlank="1" showInputMessage="1" showErrorMessage="1" sqref="I30:I31 D14:D31" xr:uid="{CD42CAAA-46DF-46FC-AA6B-DAC2C45BB205}">
      <formula1>"Guadalupe Vásquez,  Maridania Ramírez, Wendy Carrasco"</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7DCC6-8DDE-4946-A785-1ED05D128C9C}">
  <sheetPr>
    <tabColor rgb="FF00B050"/>
  </sheetPr>
  <dimension ref="A6:J46"/>
  <sheetViews>
    <sheetView topLeftCell="D1" workbookViewId="0">
      <selection activeCell="H13" sqref="H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5.55468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749</v>
      </c>
      <c r="C13" s="26" t="s">
        <v>5</v>
      </c>
      <c r="D13" s="27" t="s">
        <v>6</v>
      </c>
      <c r="E13" s="4" t="s">
        <v>7</v>
      </c>
      <c r="F13" s="17" t="s">
        <v>8</v>
      </c>
      <c r="G13" s="284" t="s">
        <v>9</v>
      </c>
      <c r="H13" s="283" t="s">
        <v>710</v>
      </c>
      <c r="I13" s="282" t="s">
        <v>10</v>
      </c>
    </row>
    <row r="14" spans="1:10" ht="43.2">
      <c r="A14" s="76" t="s">
        <v>430</v>
      </c>
      <c r="B14" s="253" t="s">
        <v>431</v>
      </c>
      <c r="C14" s="239" t="s">
        <v>432</v>
      </c>
      <c r="D14" s="239" t="s">
        <v>433</v>
      </c>
      <c r="E14" s="240" t="s">
        <v>434</v>
      </c>
      <c r="F14" s="241">
        <v>45980</v>
      </c>
      <c r="G14" s="334"/>
      <c r="H14" s="47"/>
      <c r="I14" s="335" t="s">
        <v>435</v>
      </c>
    </row>
    <row r="15" spans="1:10" ht="57.6">
      <c r="A15" s="76" t="s">
        <v>430</v>
      </c>
      <c r="B15" s="253" t="s">
        <v>436</v>
      </c>
      <c r="C15" s="29" t="s">
        <v>437</v>
      </c>
      <c r="D15" s="29" t="s">
        <v>433</v>
      </c>
      <c r="E15" s="9" t="s">
        <v>438</v>
      </c>
      <c r="F15" s="18">
        <v>45933</v>
      </c>
      <c r="G15" s="286" t="s">
        <v>47</v>
      </c>
      <c r="H15" s="47"/>
      <c r="I15" s="97"/>
    </row>
    <row r="16" spans="1:10" ht="57.6">
      <c r="A16" s="76" t="s">
        <v>430</v>
      </c>
      <c r="B16" s="253" t="s">
        <v>439</v>
      </c>
      <c r="C16" s="29" t="s">
        <v>440</v>
      </c>
      <c r="D16" s="29" t="s">
        <v>433</v>
      </c>
      <c r="E16" s="9" t="s">
        <v>441</v>
      </c>
      <c r="F16" s="18">
        <v>45938</v>
      </c>
      <c r="G16" s="286" t="s">
        <v>148</v>
      </c>
      <c r="H16" s="47"/>
      <c r="I16" s="97"/>
    </row>
    <row r="17" spans="1:9" ht="43.2">
      <c r="A17" s="76" t="s">
        <v>430</v>
      </c>
      <c r="B17" s="253" t="s">
        <v>442</v>
      </c>
      <c r="C17" s="29" t="s">
        <v>443</v>
      </c>
      <c r="D17" s="29" t="s">
        <v>433</v>
      </c>
      <c r="E17" s="9" t="s">
        <v>444</v>
      </c>
      <c r="F17" s="18"/>
      <c r="G17" s="286"/>
      <c r="H17" s="47"/>
      <c r="I17" s="97"/>
    </row>
    <row r="18" spans="1:9" ht="57.6">
      <c r="A18" s="76" t="s">
        <v>430</v>
      </c>
      <c r="B18" s="253" t="s">
        <v>445</v>
      </c>
      <c r="C18" s="29" t="s">
        <v>446</v>
      </c>
      <c r="D18" s="29" t="s">
        <v>433</v>
      </c>
      <c r="E18" s="9" t="s">
        <v>438</v>
      </c>
      <c r="F18" s="18"/>
      <c r="G18" s="286"/>
      <c r="H18" s="47"/>
      <c r="I18" s="97" t="s">
        <v>447</v>
      </c>
    </row>
    <row r="19" spans="1:9" ht="86.4">
      <c r="A19" s="76" t="s">
        <v>430</v>
      </c>
      <c r="B19" s="253" t="s">
        <v>448</v>
      </c>
      <c r="C19" s="29" t="s">
        <v>449</v>
      </c>
      <c r="D19" s="29" t="s">
        <v>433</v>
      </c>
      <c r="E19" s="9" t="s">
        <v>450</v>
      </c>
      <c r="F19" s="18">
        <v>45974</v>
      </c>
      <c r="G19" s="286"/>
      <c r="H19" s="47"/>
      <c r="I19" s="97" t="s">
        <v>451</v>
      </c>
    </row>
    <row r="20" spans="1:9" ht="57.6">
      <c r="A20" s="76" t="s">
        <v>430</v>
      </c>
      <c r="B20" s="253" t="s">
        <v>452</v>
      </c>
      <c r="C20" s="29"/>
      <c r="D20" s="29"/>
      <c r="E20" s="9"/>
      <c r="F20" s="18"/>
      <c r="G20" s="286"/>
      <c r="H20" s="47"/>
      <c r="I20" s="97" t="s">
        <v>447</v>
      </c>
    </row>
    <row r="21" spans="1:9" ht="43.2">
      <c r="A21" s="76" t="s">
        <v>430</v>
      </c>
      <c r="B21" s="253" t="s">
        <v>453</v>
      </c>
      <c r="C21" s="29" t="s">
        <v>454</v>
      </c>
      <c r="D21" s="29" t="s">
        <v>433</v>
      </c>
      <c r="E21" s="9" t="s">
        <v>455</v>
      </c>
      <c r="F21" s="18"/>
      <c r="G21" s="286"/>
      <c r="H21" s="47"/>
      <c r="I21" s="97"/>
    </row>
    <row r="22" spans="1:9" ht="43.2">
      <c r="A22" s="76" t="s">
        <v>430</v>
      </c>
      <c r="B22" s="253" t="s">
        <v>456</v>
      </c>
      <c r="C22" s="29" t="s">
        <v>457</v>
      </c>
      <c r="D22" s="29" t="s">
        <v>433</v>
      </c>
      <c r="E22" s="9" t="s">
        <v>444</v>
      </c>
      <c r="F22" s="18"/>
      <c r="G22" s="286"/>
      <c r="H22" s="47"/>
      <c r="I22" s="97"/>
    </row>
    <row r="23" spans="1:9" ht="57.6">
      <c r="A23" s="76" t="s">
        <v>430</v>
      </c>
      <c r="B23" s="253" t="s">
        <v>458</v>
      </c>
      <c r="C23" s="29" t="s">
        <v>459</v>
      </c>
      <c r="D23" s="29" t="s">
        <v>433</v>
      </c>
      <c r="E23" s="9"/>
      <c r="F23" s="18"/>
      <c r="G23" s="286"/>
      <c r="H23" s="47"/>
      <c r="I23" s="97"/>
    </row>
    <row r="24" spans="1:9" ht="43.2">
      <c r="A24" s="76" t="s">
        <v>430</v>
      </c>
      <c r="B24" s="253" t="s">
        <v>460</v>
      </c>
      <c r="C24" s="29"/>
      <c r="D24" s="29"/>
      <c r="E24" s="9"/>
      <c r="F24" s="18"/>
      <c r="G24" s="286"/>
      <c r="H24" s="47"/>
      <c r="I24" s="97"/>
    </row>
    <row r="25" spans="1:9" ht="57.6">
      <c r="A25" s="76" t="s">
        <v>430</v>
      </c>
      <c r="B25" s="253" t="s">
        <v>461</v>
      </c>
      <c r="C25" s="253" t="s">
        <v>461</v>
      </c>
      <c r="D25" s="29" t="s">
        <v>433</v>
      </c>
      <c r="E25" s="9"/>
      <c r="F25" s="18"/>
      <c r="G25" s="286"/>
      <c r="H25" s="47"/>
      <c r="I25" s="97"/>
    </row>
    <row r="26" spans="1:9" ht="57.6">
      <c r="A26" s="76" t="s">
        <v>430</v>
      </c>
      <c r="B26" s="253" t="s">
        <v>462</v>
      </c>
      <c r="C26" s="253" t="s">
        <v>462</v>
      </c>
      <c r="D26" s="29"/>
      <c r="E26" s="9"/>
      <c r="F26" s="18"/>
      <c r="G26" s="286"/>
      <c r="H26" s="47"/>
      <c r="I26" s="97"/>
    </row>
    <row r="27" spans="1:9" ht="72">
      <c r="A27" s="76" t="s">
        <v>430</v>
      </c>
      <c r="B27" s="253" t="s">
        <v>463</v>
      </c>
      <c r="C27" s="29" t="s">
        <v>449</v>
      </c>
      <c r="D27" s="29" t="s">
        <v>433</v>
      </c>
      <c r="E27" s="9" t="s">
        <v>464</v>
      </c>
      <c r="F27" s="18">
        <v>45976</v>
      </c>
      <c r="G27" s="286"/>
      <c r="H27" s="47"/>
      <c r="I27" s="97" t="s">
        <v>465</v>
      </c>
    </row>
    <row r="28" spans="1:9" ht="43.2">
      <c r="A28" s="76" t="s">
        <v>430</v>
      </c>
      <c r="B28" s="253" t="s">
        <v>466</v>
      </c>
      <c r="C28" s="253" t="s">
        <v>466</v>
      </c>
      <c r="D28" s="29" t="s">
        <v>433</v>
      </c>
      <c r="E28" s="9"/>
      <c r="F28" s="18"/>
      <c r="G28" s="286"/>
      <c r="H28" s="47"/>
      <c r="I28" s="97"/>
    </row>
    <row r="29" spans="1:9" ht="28.8">
      <c r="A29" s="76" t="s">
        <v>430</v>
      </c>
      <c r="B29" s="253" t="s">
        <v>467</v>
      </c>
      <c r="C29" s="29"/>
      <c r="D29" s="29"/>
      <c r="E29" s="9"/>
      <c r="F29" s="18"/>
      <c r="G29" s="286"/>
      <c r="H29" s="47"/>
      <c r="I29" s="97"/>
    </row>
    <row r="38" spans="1:8" ht="21">
      <c r="A38" s="12"/>
      <c r="B38" s="13" t="s">
        <v>711</v>
      </c>
      <c r="C38" s="14"/>
      <c r="D38" s="14"/>
      <c r="E38" s="12"/>
      <c r="F38" s="12"/>
      <c r="G38" s="12"/>
    </row>
    <row r="40" spans="1:8" ht="15.6">
      <c r="A40" s="369" t="s">
        <v>3</v>
      </c>
      <c r="B40" s="366" t="s">
        <v>712</v>
      </c>
      <c r="C40" s="364" t="s">
        <v>713</v>
      </c>
      <c r="D40" s="361" t="s">
        <v>714</v>
      </c>
      <c r="E40" s="362"/>
      <c r="F40" s="362"/>
      <c r="G40" s="363"/>
      <c r="H40" s="364" t="s">
        <v>715</v>
      </c>
    </row>
    <row r="41" spans="1:8" ht="46.8">
      <c r="A41" s="370"/>
      <c r="B41" s="367"/>
      <c r="C41" s="368"/>
      <c r="D41" s="15" t="s">
        <v>716</v>
      </c>
      <c r="E41" s="15" t="s">
        <v>717</v>
      </c>
      <c r="F41" s="16" t="s">
        <v>718</v>
      </c>
      <c r="G41" s="16" t="s">
        <v>719</v>
      </c>
      <c r="H41" s="365"/>
    </row>
    <row r="42" spans="1:8">
      <c r="A42" s="6" t="s">
        <v>750</v>
      </c>
      <c r="B42" s="33" t="s">
        <v>17</v>
      </c>
      <c r="C42" s="105"/>
      <c r="D42" s="105"/>
      <c r="E42" s="105"/>
      <c r="F42" s="105"/>
      <c r="G42" s="105"/>
      <c r="H42" s="106"/>
    </row>
    <row r="43" spans="1:8">
      <c r="A43" s="6" t="s">
        <v>750</v>
      </c>
      <c r="B43" s="34" t="s">
        <v>720</v>
      </c>
      <c r="C43" s="107"/>
      <c r="D43" s="107"/>
      <c r="E43" s="107"/>
      <c r="F43" s="107"/>
      <c r="G43" s="107"/>
      <c r="H43" s="106"/>
    </row>
    <row r="44" spans="1:8">
      <c r="A44" s="6" t="s">
        <v>750</v>
      </c>
      <c r="B44" s="35" t="s">
        <v>721</v>
      </c>
      <c r="C44" s="109"/>
      <c r="D44" s="109"/>
      <c r="E44" s="109"/>
      <c r="F44" s="109"/>
      <c r="G44" s="109"/>
      <c r="H44" s="106"/>
    </row>
    <row r="45" spans="1:8">
      <c r="A45" s="6" t="s">
        <v>750</v>
      </c>
      <c r="B45" s="21"/>
      <c r="C45" s="110"/>
      <c r="D45" s="110"/>
      <c r="E45" s="110"/>
      <c r="F45" s="110"/>
      <c r="G45" s="110"/>
      <c r="H45" s="106"/>
    </row>
    <row r="46" spans="1:8">
      <c r="A46" s="37" t="s">
        <v>722</v>
      </c>
      <c r="B46" s="38"/>
      <c r="C46" s="107">
        <f t="shared" ref="C46:H46" si="0">SUM(C42:C45)</f>
        <v>0</v>
      </c>
      <c r="D46" s="108">
        <f t="shared" si="0"/>
        <v>0</v>
      </c>
      <c r="E46" s="108">
        <f t="shared" si="0"/>
        <v>0</v>
      </c>
      <c r="F46" s="108">
        <f t="shared" si="0"/>
        <v>0</v>
      </c>
      <c r="G46" s="108">
        <f t="shared" si="0"/>
        <v>0</v>
      </c>
      <c r="H46" s="108">
        <f t="shared" si="0"/>
        <v>0</v>
      </c>
    </row>
  </sheetData>
  <protectedRanges>
    <protectedRange sqref="H13" name="Rango1"/>
  </protectedRanges>
  <mergeCells count="7">
    <mergeCell ref="A9:J9"/>
    <mergeCell ref="A10:J10"/>
    <mergeCell ref="A40:A41"/>
    <mergeCell ref="B40:B41"/>
    <mergeCell ref="C40:C41"/>
    <mergeCell ref="D40:G40"/>
    <mergeCell ref="H40:H41"/>
  </mergeCells>
  <dataValidations count="3">
    <dataValidation type="list" allowBlank="1" showInputMessage="1" showErrorMessage="1" sqref="G14:G29" xr:uid="{1A744DEE-99E0-4FBC-95D6-1AC9EC5380D9}">
      <formula1>"Ejecutado, No ejecutado, En Proceso"</formula1>
    </dataValidation>
    <dataValidation type="date" allowBlank="1" showInputMessage="1" showErrorMessage="1" sqref="F14:F29" xr:uid="{134132F8-980D-49DB-80F5-625585AAD9A1}">
      <formula1>45931</formula1>
      <formula2>46022</formula2>
    </dataValidation>
    <dataValidation type="list" allowBlank="1" showInputMessage="1" showErrorMessage="1" sqref="D14:D29" xr:uid="{5976EB1E-24B8-46C5-93CE-CE5BA0CC2A4E}">
      <formula1>"Yasafina Concepción"</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6176-48C0-4C56-8F8E-2C58AED1F473}">
  <sheetPr>
    <tabColor rgb="FF00B050"/>
  </sheetPr>
  <dimension ref="A6:J35"/>
  <sheetViews>
    <sheetView topLeftCell="D1" workbookViewId="0">
      <selection activeCell="H14" sqref="H14"/>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4.44140625" customWidth="1"/>
    <col min="10" max="10" width="34.44140625" customWidth="1"/>
  </cols>
  <sheetData>
    <row r="6" spans="1:10">
      <c r="B6" s="1"/>
      <c r="D6" s="1"/>
      <c r="F6" s="1"/>
    </row>
    <row r="7" spans="1:10">
      <c r="B7" s="1"/>
      <c r="D7" s="1"/>
      <c r="F7" s="1"/>
    </row>
    <row r="8" spans="1:10">
      <c r="B8" s="1"/>
      <c r="D8" s="1"/>
      <c r="F8" s="1"/>
    </row>
    <row r="9" spans="1:10">
      <c r="A9" s="356" t="s">
        <v>729</v>
      </c>
      <c r="B9" s="356"/>
      <c r="C9" s="356"/>
      <c r="D9" s="356"/>
      <c r="E9" s="356"/>
      <c r="F9" s="356"/>
      <c r="G9" s="356"/>
      <c r="H9" s="356"/>
      <c r="I9" s="356"/>
      <c r="J9" s="356"/>
    </row>
    <row r="10" spans="1:10">
      <c r="A10" s="356" t="s">
        <v>0</v>
      </c>
      <c r="B10" s="356"/>
      <c r="C10" s="356"/>
      <c r="D10" s="356"/>
      <c r="E10" s="356"/>
      <c r="F10" s="356"/>
      <c r="G10" s="356"/>
      <c r="H10" s="356"/>
      <c r="I10" s="356"/>
      <c r="J10" s="356"/>
    </row>
    <row r="11" spans="1:10">
      <c r="A11" s="356" t="s">
        <v>1</v>
      </c>
      <c r="B11" s="356"/>
      <c r="C11" s="356"/>
      <c r="D11" s="356"/>
      <c r="E11" s="356"/>
      <c r="F11" s="356"/>
      <c r="G11" s="356"/>
      <c r="H11" s="356"/>
      <c r="I11" s="356"/>
      <c r="J11" s="356"/>
    </row>
    <row r="12" spans="1:10">
      <c r="A12" s="2" t="s">
        <v>709</v>
      </c>
      <c r="B12" s="3"/>
      <c r="C12" s="2"/>
      <c r="D12" s="1"/>
      <c r="F12" s="1"/>
    </row>
    <row r="13" spans="1:10">
      <c r="B13" s="1"/>
      <c r="D13" s="1"/>
      <c r="F13" s="1"/>
    </row>
    <row r="14" spans="1:10" ht="43.2">
      <c r="A14" s="26" t="s">
        <v>3</v>
      </c>
      <c r="B14" s="27" t="s">
        <v>749</v>
      </c>
      <c r="C14" s="26" t="s">
        <v>5</v>
      </c>
      <c r="D14" s="27" t="s">
        <v>6</v>
      </c>
      <c r="E14" s="4" t="s">
        <v>7</v>
      </c>
      <c r="F14" s="17" t="s">
        <v>8</v>
      </c>
      <c r="G14" s="284" t="s">
        <v>9</v>
      </c>
      <c r="H14" s="283" t="s">
        <v>710</v>
      </c>
      <c r="I14" s="282" t="s">
        <v>10</v>
      </c>
    </row>
    <row r="15" spans="1:10" ht="115.2">
      <c r="A15" s="126" t="s">
        <v>468</v>
      </c>
      <c r="B15" s="127" t="s">
        <v>469</v>
      </c>
      <c r="C15" s="128" t="s">
        <v>470</v>
      </c>
      <c r="D15" s="128" t="s">
        <v>471</v>
      </c>
      <c r="E15" s="129" t="s">
        <v>472</v>
      </c>
      <c r="F15" s="130"/>
      <c r="G15" s="336"/>
      <c r="H15" s="47"/>
      <c r="I15" s="338"/>
    </row>
    <row r="16" spans="1:10" ht="100.8">
      <c r="A16" s="126" t="s">
        <v>468</v>
      </c>
      <c r="B16" s="131" t="s">
        <v>473</v>
      </c>
      <c r="C16" s="132" t="s">
        <v>474</v>
      </c>
      <c r="D16" s="135" t="s">
        <v>471</v>
      </c>
      <c r="E16" s="136" t="s">
        <v>475</v>
      </c>
      <c r="F16" s="133"/>
      <c r="G16" s="337"/>
      <c r="H16" s="47"/>
      <c r="I16" s="339"/>
    </row>
    <row r="17" spans="1:9" ht="115.2">
      <c r="A17" s="126" t="s">
        <v>468</v>
      </c>
      <c r="B17" s="131" t="s">
        <v>476</v>
      </c>
      <c r="C17" s="132" t="s">
        <v>477</v>
      </c>
      <c r="D17" s="135" t="s">
        <v>471</v>
      </c>
      <c r="E17" s="136" t="s">
        <v>478</v>
      </c>
      <c r="F17" s="133"/>
      <c r="G17" s="337"/>
      <c r="H17" s="47"/>
      <c r="I17" s="339"/>
    </row>
    <row r="18" spans="1:9" ht="100.8">
      <c r="A18" s="126" t="s">
        <v>468</v>
      </c>
      <c r="B18" s="131" t="s">
        <v>479</v>
      </c>
      <c r="C18" s="132" t="s">
        <v>480</v>
      </c>
      <c r="D18" s="135" t="s">
        <v>471</v>
      </c>
      <c r="E18" s="136" t="s">
        <v>481</v>
      </c>
      <c r="F18" s="133"/>
      <c r="G18" s="337"/>
      <c r="H18" s="47"/>
      <c r="I18" s="339"/>
    </row>
    <row r="19" spans="1:9" ht="115.2">
      <c r="A19" s="134" t="s">
        <v>468</v>
      </c>
      <c r="B19" s="131" t="s">
        <v>482</v>
      </c>
      <c r="C19" s="132" t="s">
        <v>483</v>
      </c>
      <c r="D19" s="137" t="s">
        <v>471</v>
      </c>
      <c r="E19" s="138" t="s">
        <v>481</v>
      </c>
      <c r="F19" s="133"/>
      <c r="G19" s="337"/>
      <c r="H19" s="47"/>
      <c r="I19" s="339"/>
    </row>
    <row r="27" spans="1:9" ht="21">
      <c r="A27" s="12"/>
      <c r="B27" s="13" t="s">
        <v>711</v>
      </c>
      <c r="C27" s="14"/>
      <c r="D27" s="14"/>
      <c r="E27" s="12"/>
      <c r="F27" s="12"/>
      <c r="G27" s="12"/>
    </row>
    <row r="29" spans="1:9" ht="15.6">
      <c r="A29" s="369" t="s">
        <v>3</v>
      </c>
      <c r="B29" s="366" t="s">
        <v>712</v>
      </c>
      <c r="C29" s="364" t="s">
        <v>713</v>
      </c>
      <c r="D29" s="361" t="s">
        <v>714</v>
      </c>
      <c r="E29" s="362"/>
      <c r="F29" s="362"/>
      <c r="G29" s="363"/>
      <c r="H29" s="364" t="s">
        <v>715</v>
      </c>
    </row>
    <row r="30" spans="1:9" ht="46.8">
      <c r="A30" s="370"/>
      <c r="B30" s="367"/>
      <c r="C30" s="368"/>
      <c r="D30" s="15" t="s">
        <v>716</v>
      </c>
      <c r="E30" s="15" t="s">
        <v>717</v>
      </c>
      <c r="F30" s="16" t="s">
        <v>718</v>
      </c>
      <c r="G30" s="16" t="s">
        <v>719</v>
      </c>
      <c r="H30" s="365"/>
    </row>
    <row r="31" spans="1:9">
      <c r="A31" s="6" t="s">
        <v>468</v>
      </c>
      <c r="B31" s="33" t="s">
        <v>17</v>
      </c>
      <c r="C31" s="105"/>
      <c r="D31" s="105"/>
      <c r="E31" s="105"/>
      <c r="F31" s="105"/>
      <c r="G31" s="105"/>
      <c r="H31" s="106"/>
    </row>
    <row r="32" spans="1:9">
      <c r="A32" s="6" t="s">
        <v>468</v>
      </c>
      <c r="B32" s="34" t="s">
        <v>720</v>
      </c>
      <c r="C32" s="107"/>
      <c r="D32" s="107"/>
      <c r="E32" s="107"/>
      <c r="F32" s="107"/>
      <c r="G32" s="107"/>
      <c r="H32" s="106"/>
    </row>
    <row r="33" spans="1:8">
      <c r="A33" s="6" t="s">
        <v>468</v>
      </c>
      <c r="B33" s="35" t="s">
        <v>721</v>
      </c>
      <c r="C33" s="109"/>
      <c r="D33" s="109"/>
      <c r="E33" s="109"/>
      <c r="F33" s="109"/>
      <c r="G33" s="109"/>
      <c r="H33" s="106"/>
    </row>
    <row r="34" spans="1:8">
      <c r="A34" s="6" t="s">
        <v>468</v>
      </c>
      <c r="B34" s="21"/>
      <c r="C34" s="110"/>
      <c r="D34" s="110"/>
      <c r="E34" s="110"/>
      <c r="F34" s="110"/>
      <c r="G34" s="110"/>
      <c r="H34" s="106"/>
    </row>
    <row r="35" spans="1:8">
      <c r="A35" s="37" t="s">
        <v>722</v>
      </c>
      <c r="B35" s="38"/>
      <c r="C35" s="107">
        <f t="shared" ref="C35:H35" si="0">SUM(C31:C34)</f>
        <v>0</v>
      </c>
      <c r="D35" s="108">
        <f t="shared" si="0"/>
        <v>0</v>
      </c>
      <c r="E35" s="108">
        <f t="shared" si="0"/>
        <v>0</v>
      </c>
      <c r="F35" s="108">
        <f t="shared" si="0"/>
        <v>0</v>
      </c>
      <c r="G35" s="108">
        <f t="shared" si="0"/>
        <v>0</v>
      </c>
      <c r="H35" s="108">
        <f t="shared" si="0"/>
        <v>0</v>
      </c>
    </row>
  </sheetData>
  <protectedRanges>
    <protectedRange sqref="H14" name="Rango1"/>
  </protectedRanges>
  <mergeCells count="8">
    <mergeCell ref="A9:J9"/>
    <mergeCell ref="A10:J10"/>
    <mergeCell ref="A11:J11"/>
    <mergeCell ref="A29:A30"/>
    <mergeCell ref="B29:B30"/>
    <mergeCell ref="C29:C30"/>
    <mergeCell ref="D29:G29"/>
    <mergeCell ref="H29:H30"/>
  </mergeCells>
  <dataValidations count="3">
    <dataValidation type="list" allowBlank="1" showInputMessage="1" showErrorMessage="1" sqref="G15:G19" xr:uid="{C1D92C2A-073B-4650-9800-6932210A7B79}">
      <formula1>"Ejecutado, No ejecutado, En Proceso"</formula1>
    </dataValidation>
    <dataValidation type="date" allowBlank="1" showInputMessage="1" showErrorMessage="1" sqref="F15:F19" xr:uid="{8944A55A-A189-434F-9801-725E7D4DBBC3}">
      <formula1>45931</formula1>
      <formula2>46022</formula2>
    </dataValidation>
    <dataValidation type="list" allowBlank="1" showInputMessage="1" showErrorMessage="1" sqref="D15:D19" xr:uid="{342982B6-E19A-4D6B-8278-0A26468B5583}">
      <formula1>"Enelsy Tejada "</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4EDB8-1ADD-4871-AC21-88E6D8FF125F}">
  <sheetPr>
    <tabColor rgb="FF00B050"/>
  </sheetPr>
  <dimension ref="A6:J50"/>
  <sheetViews>
    <sheetView topLeftCell="C3" workbookViewId="0">
      <selection activeCell="H13" sqref="H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6.55468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727</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749</v>
      </c>
      <c r="C13" s="26" t="s">
        <v>5</v>
      </c>
      <c r="D13" s="27" t="s">
        <v>6</v>
      </c>
      <c r="E13" s="4" t="s">
        <v>7</v>
      </c>
      <c r="F13" s="17" t="s">
        <v>8</v>
      </c>
      <c r="G13" s="277" t="s">
        <v>9</v>
      </c>
      <c r="H13" s="283" t="s">
        <v>710</v>
      </c>
      <c r="I13" s="282" t="s">
        <v>10</v>
      </c>
    </row>
    <row r="14" spans="1:10" ht="43.2">
      <c r="A14" s="222" t="s">
        <v>484</v>
      </c>
      <c r="B14" s="223" t="s">
        <v>485</v>
      </c>
      <c r="C14" s="223" t="s">
        <v>486</v>
      </c>
      <c r="D14" s="223" t="s">
        <v>487</v>
      </c>
      <c r="E14" s="223">
        <v>52</v>
      </c>
      <c r="F14" s="8"/>
      <c r="G14" s="278"/>
      <c r="H14" s="47"/>
      <c r="I14" s="96"/>
    </row>
    <row r="15" spans="1:10" ht="43.2">
      <c r="A15" s="9" t="s">
        <v>484</v>
      </c>
      <c r="B15" s="9" t="s">
        <v>488</v>
      </c>
      <c r="C15" s="9" t="s">
        <v>489</v>
      </c>
      <c r="D15" s="9" t="s">
        <v>487</v>
      </c>
      <c r="E15" s="9">
        <v>12</v>
      </c>
      <c r="F15" s="18"/>
      <c r="G15" s="279"/>
      <c r="H15" s="47"/>
      <c r="I15" s="97"/>
    </row>
    <row r="16" spans="1:10" ht="43.2">
      <c r="A16" s="9" t="s">
        <v>484</v>
      </c>
      <c r="B16" s="9" t="s">
        <v>488</v>
      </c>
      <c r="C16" s="9" t="s">
        <v>489</v>
      </c>
      <c r="D16" s="9" t="s">
        <v>487</v>
      </c>
      <c r="E16" s="9">
        <v>12</v>
      </c>
      <c r="F16" s="18"/>
      <c r="G16" s="279"/>
      <c r="H16" s="47"/>
      <c r="I16" s="97"/>
    </row>
    <row r="17" spans="1:9" ht="43.2">
      <c r="A17" s="9" t="s">
        <v>484</v>
      </c>
      <c r="B17" s="9" t="s">
        <v>488</v>
      </c>
      <c r="C17" s="9" t="s">
        <v>489</v>
      </c>
      <c r="D17" s="9" t="s">
        <v>487</v>
      </c>
      <c r="E17" s="9">
        <v>12</v>
      </c>
      <c r="F17" s="18"/>
      <c r="G17" s="279"/>
      <c r="H17" s="47"/>
      <c r="I17" s="97"/>
    </row>
    <row r="18" spans="1:9" ht="43.2">
      <c r="A18" s="9" t="s">
        <v>484</v>
      </c>
      <c r="B18" s="9" t="s">
        <v>490</v>
      </c>
      <c r="C18" s="9" t="s">
        <v>491</v>
      </c>
      <c r="D18" s="9" t="s">
        <v>487</v>
      </c>
      <c r="E18" s="9">
        <v>34</v>
      </c>
      <c r="F18" s="18"/>
      <c r="G18" s="279"/>
      <c r="H18" s="47"/>
      <c r="I18" s="97"/>
    </row>
    <row r="19" spans="1:9" ht="43.2">
      <c r="A19" s="9" t="s">
        <v>484</v>
      </c>
      <c r="B19" s="9" t="s">
        <v>490</v>
      </c>
      <c r="C19" s="9" t="s">
        <v>491</v>
      </c>
      <c r="D19" s="9" t="s">
        <v>487</v>
      </c>
      <c r="E19" s="9">
        <v>4</v>
      </c>
      <c r="F19" s="18"/>
      <c r="G19" s="279"/>
      <c r="H19" s="47"/>
      <c r="I19" s="97"/>
    </row>
    <row r="20" spans="1:9" ht="43.2">
      <c r="A20" s="9" t="s">
        <v>484</v>
      </c>
      <c r="B20" s="9" t="s">
        <v>490</v>
      </c>
      <c r="C20" s="9" t="s">
        <v>491</v>
      </c>
      <c r="D20" s="9" t="s">
        <v>487</v>
      </c>
      <c r="E20" s="9">
        <v>2</v>
      </c>
      <c r="F20" s="18"/>
      <c r="G20" s="279"/>
      <c r="H20" s="47"/>
      <c r="I20" s="97"/>
    </row>
    <row r="21" spans="1:9" ht="28.8">
      <c r="A21" s="9" t="s">
        <v>484</v>
      </c>
      <c r="B21" s="9" t="s">
        <v>492</v>
      </c>
      <c r="C21" s="9" t="s">
        <v>493</v>
      </c>
      <c r="D21" s="9" t="s">
        <v>487</v>
      </c>
      <c r="E21" s="9">
        <v>12</v>
      </c>
      <c r="F21" s="18"/>
      <c r="G21" s="279"/>
      <c r="H21" s="47"/>
      <c r="I21" s="97"/>
    </row>
    <row r="22" spans="1:9" ht="28.8">
      <c r="A22" s="9" t="s">
        <v>484</v>
      </c>
      <c r="B22" s="9" t="s">
        <v>492</v>
      </c>
      <c r="C22" s="9" t="s">
        <v>494</v>
      </c>
      <c r="D22" s="9" t="s">
        <v>487</v>
      </c>
      <c r="E22" s="9">
        <v>12</v>
      </c>
      <c r="F22" s="18"/>
      <c r="G22" s="279"/>
      <c r="H22" s="47"/>
      <c r="I22" s="97"/>
    </row>
    <row r="23" spans="1:9" ht="28.8">
      <c r="A23" s="9" t="s">
        <v>484</v>
      </c>
      <c r="B23" s="9" t="s">
        <v>492</v>
      </c>
      <c r="C23" s="9" t="s">
        <v>494</v>
      </c>
      <c r="D23" s="9" t="s">
        <v>487</v>
      </c>
      <c r="E23" s="9">
        <v>3</v>
      </c>
      <c r="F23" s="18"/>
      <c r="G23" s="279"/>
      <c r="H23" s="47"/>
      <c r="I23" s="97"/>
    </row>
    <row r="24" spans="1:9" ht="43.2">
      <c r="A24" s="10" t="s">
        <v>484</v>
      </c>
      <c r="B24" s="10" t="s">
        <v>495</v>
      </c>
      <c r="C24" s="10" t="s">
        <v>494</v>
      </c>
      <c r="D24" s="10" t="s">
        <v>487</v>
      </c>
      <c r="E24" s="10">
        <v>4</v>
      </c>
      <c r="F24" s="19"/>
      <c r="G24" s="280"/>
      <c r="H24" s="47"/>
      <c r="I24" s="98"/>
    </row>
    <row r="25" spans="1:9" ht="43.2">
      <c r="A25" s="47" t="s">
        <v>484</v>
      </c>
      <c r="B25" s="9" t="s">
        <v>495</v>
      </c>
      <c r="C25" s="9" t="s">
        <v>494</v>
      </c>
      <c r="D25" s="47" t="s">
        <v>487</v>
      </c>
      <c r="E25" s="47">
        <v>4</v>
      </c>
      <c r="F25" s="20"/>
      <c r="G25" s="281"/>
      <c r="H25" s="47"/>
      <c r="I25" s="99"/>
    </row>
    <row r="26" spans="1:9" ht="43.2">
      <c r="A26" s="47" t="s">
        <v>484</v>
      </c>
      <c r="B26" s="9" t="s">
        <v>495</v>
      </c>
      <c r="C26" s="9" t="s">
        <v>494</v>
      </c>
      <c r="D26" s="47" t="s">
        <v>487</v>
      </c>
      <c r="E26" s="47">
        <v>4</v>
      </c>
      <c r="F26" s="20"/>
      <c r="G26" s="281"/>
      <c r="H26" s="47"/>
      <c r="I26" s="99"/>
    </row>
    <row r="27" spans="1:9" ht="28.8">
      <c r="A27" s="47" t="s">
        <v>484</v>
      </c>
      <c r="B27" s="9" t="s">
        <v>496</v>
      </c>
      <c r="C27" s="9" t="s">
        <v>497</v>
      </c>
      <c r="D27" s="47" t="s">
        <v>487</v>
      </c>
      <c r="E27" s="47">
        <v>3</v>
      </c>
      <c r="F27" s="20"/>
      <c r="G27" s="281"/>
      <c r="H27" s="47"/>
      <c r="I27" s="99"/>
    </row>
    <row r="28" spans="1:9" ht="28.8">
      <c r="A28" s="47" t="s">
        <v>484</v>
      </c>
      <c r="B28" s="9" t="s">
        <v>492</v>
      </c>
      <c r="C28" s="9" t="s">
        <v>497</v>
      </c>
      <c r="D28" s="47" t="s">
        <v>487</v>
      </c>
      <c r="E28" s="47">
        <v>1</v>
      </c>
      <c r="F28" s="20"/>
      <c r="G28" s="281"/>
      <c r="H28" s="47"/>
      <c r="I28" s="99"/>
    </row>
    <row r="29" spans="1:9" ht="28.8">
      <c r="A29" s="47" t="s">
        <v>484</v>
      </c>
      <c r="B29" s="9" t="s">
        <v>492</v>
      </c>
      <c r="C29" s="9" t="s">
        <v>497</v>
      </c>
      <c r="D29" s="47" t="s">
        <v>487</v>
      </c>
      <c r="E29" s="47">
        <v>1</v>
      </c>
      <c r="F29" s="20"/>
      <c r="G29" s="281"/>
      <c r="H29" s="47"/>
      <c r="I29" s="99"/>
    </row>
    <row r="30" spans="1:9" ht="28.8">
      <c r="A30" s="47" t="s">
        <v>484</v>
      </c>
      <c r="B30" s="9" t="s">
        <v>498</v>
      </c>
      <c r="C30" s="9" t="s">
        <v>499</v>
      </c>
      <c r="D30" s="47" t="s">
        <v>487</v>
      </c>
      <c r="E30" s="47">
        <v>12</v>
      </c>
      <c r="F30" s="20"/>
      <c r="G30" s="281"/>
      <c r="H30" s="47"/>
      <c r="I30" s="99"/>
    </row>
    <row r="31" spans="1:9" ht="28.8">
      <c r="A31" s="224" t="s">
        <v>484</v>
      </c>
      <c r="B31" s="10" t="s">
        <v>498</v>
      </c>
      <c r="C31" s="10" t="s">
        <v>499</v>
      </c>
      <c r="D31" s="224" t="s">
        <v>487</v>
      </c>
      <c r="E31" s="224">
        <v>12</v>
      </c>
      <c r="F31" s="20"/>
      <c r="G31" s="281"/>
      <c r="H31" s="47"/>
      <c r="I31" s="99"/>
    </row>
    <row r="32" spans="1:9" ht="28.8">
      <c r="A32" s="47" t="s">
        <v>484</v>
      </c>
      <c r="B32" s="9" t="s">
        <v>498</v>
      </c>
      <c r="C32" s="9" t="s">
        <v>499</v>
      </c>
      <c r="D32" s="47" t="s">
        <v>487</v>
      </c>
      <c r="E32" s="47">
        <v>12</v>
      </c>
      <c r="F32" s="20"/>
      <c r="G32" s="281"/>
      <c r="H32" s="47"/>
      <c r="I32" s="99"/>
    </row>
    <row r="33" spans="1:9" ht="43.2">
      <c r="A33" s="47" t="s">
        <v>484</v>
      </c>
      <c r="B33" s="9" t="s">
        <v>500</v>
      </c>
      <c r="C33" s="47" t="s">
        <v>501</v>
      </c>
      <c r="D33" s="47" t="s">
        <v>487</v>
      </c>
      <c r="E33" s="47">
        <v>13</v>
      </c>
      <c r="F33" s="20"/>
      <c r="G33" s="281"/>
      <c r="H33" s="47"/>
      <c r="I33" s="99"/>
    </row>
    <row r="42" spans="1:9" ht="21">
      <c r="A42" s="12"/>
      <c r="B42" s="13" t="s">
        <v>711</v>
      </c>
      <c r="C42" s="14"/>
      <c r="D42" s="14"/>
      <c r="E42" s="12"/>
      <c r="F42" s="12"/>
      <c r="G42" s="12"/>
    </row>
    <row r="44" spans="1:9" ht="15.6">
      <c r="A44" s="369" t="s">
        <v>3</v>
      </c>
      <c r="B44" s="366" t="s">
        <v>712</v>
      </c>
      <c r="C44" s="364" t="s">
        <v>713</v>
      </c>
      <c r="D44" s="361" t="s">
        <v>714</v>
      </c>
      <c r="E44" s="362"/>
      <c r="F44" s="362"/>
      <c r="G44" s="363"/>
      <c r="H44" s="364" t="s">
        <v>715</v>
      </c>
    </row>
    <row r="45" spans="1:9" ht="46.8">
      <c r="A45" s="370"/>
      <c r="B45" s="367"/>
      <c r="C45" s="368"/>
      <c r="D45" s="15" t="s">
        <v>716</v>
      </c>
      <c r="E45" s="15" t="s">
        <v>717</v>
      </c>
      <c r="F45" s="16" t="s">
        <v>718</v>
      </c>
      <c r="G45" s="16" t="s">
        <v>719</v>
      </c>
      <c r="H45" s="365"/>
    </row>
    <row r="46" spans="1:9">
      <c r="A46" s="6" t="s">
        <v>751</v>
      </c>
      <c r="B46" s="33" t="s">
        <v>17</v>
      </c>
      <c r="C46" s="105"/>
      <c r="D46" s="105"/>
      <c r="E46" s="105"/>
      <c r="F46" s="105"/>
      <c r="G46" s="105"/>
      <c r="H46" s="106"/>
    </row>
    <row r="47" spans="1:9">
      <c r="A47" s="6" t="s">
        <v>751</v>
      </c>
      <c r="B47" s="34" t="s">
        <v>720</v>
      </c>
      <c r="C47" s="107"/>
      <c r="D47" s="107"/>
      <c r="E47" s="107"/>
      <c r="F47" s="107"/>
      <c r="G47" s="107"/>
      <c r="H47" s="106"/>
    </row>
    <row r="48" spans="1:9">
      <c r="A48" s="6" t="s">
        <v>751</v>
      </c>
      <c r="B48" s="35" t="s">
        <v>721</v>
      </c>
      <c r="C48" s="109"/>
      <c r="D48" s="109"/>
      <c r="E48" s="109"/>
      <c r="F48" s="109"/>
      <c r="G48" s="109"/>
      <c r="H48" s="106"/>
    </row>
    <row r="49" spans="1:8">
      <c r="A49" s="6" t="s">
        <v>751</v>
      </c>
      <c r="B49" s="21"/>
      <c r="C49" s="110"/>
      <c r="D49" s="110"/>
      <c r="E49" s="110"/>
      <c r="F49" s="110"/>
      <c r="G49" s="110"/>
      <c r="H49" s="106"/>
    </row>
    <row r="50" spans="1:8">
      <c r="A50" s="37" t="s">
        <v>722</v>
      </c>
      <c r="B50" s="38"/>
      <c r="C50" s="107">
        <f t="shared" ref="C50:H50" si="0">SUM(C46:C49)</f>
        <v>0</v>
      </c>
      <c r="D50" s="108">
        <f t="shared" si="0"/>
        <v>0</v>
      </c>
      <c r="E50" s="108">
        <f t="shared" si="0"/>
        <v>0</v>
      </c>
      <c r="F50" s="108">
        <f t="shared" si="0"/>
        <v>0</v>
      </c>
      <c r="G50" s="108">
        <f t="shared" si="0"/>
        <v>0</v>
      </c>
      <c r="H50" s="108">
        <f t="shared" si="0"/>
        <v>0</v>
      </c>
    </row>
  </sheetData>
  <protectedRanges>
    <protectedRange sqref="H13" name="Rango1"/>
  </protectedRanges>
  <mergeCells count="7">
    <mergeCell ref="A9:J9"/>
    <mergeCell ref="A10:J10"/>
    <mergeCell ref="A44:A45"/>
    <mergeCell ref="B44:B45"/>
    <mergeCell ref="C44:C45"/>
    <mergeCell ref="D44:G44"/>
    <mergeCell ref="H44:H45"/>
  </mergeCells>
  <dataValidations count="3">
    <dataValidation type="list" allowBlank="1" showInputMessage="1" showErrorMessage="1" sqref="G14:G33" xr:uid="{91335110-9D80-44E5-818F-4F213D750A5A}">
      <formula1>"Ejecutado, No ejecutado, En Proceso"</formula1>
    </dataValidation>
    <dataValidation type="date" allowBlank="1" showInputMessage="1" showErrorMessage="1" sqref="F14:F33" xr:uid="{3DB9C764-7409-4A25-B8FB-FE4D2C560948}">
      <formula1>45931</formula1>
      <formula2>46022</formula2>
    </dataValidation>
    <dataValidation type="list" allowBlank="1" showInputMessage="1" showErrorMessage="1" sqref="D14:D33" xr:uid="{DAC1EEF7-A4D2-42F1-B096-A725C4918062}">
      <formula1>"Ernesto Camilo"</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E30A2-542E-4787-935C-EDECD50C2A86}">
  <sheetPr>
    <tabColor rgb="FFC00000"/>
  </sheetPr>
  <dimension ref="A6:J59"/>
  <sheetViews>
    <sheetView topLeftCell="C5" workbookViewId="0">
      <selection activeCell="H13" sqref="H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7.886718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77" t="s">
        <v>9</v>
      </c>
      <c r="H13" s="283" t="s">
        <v>710</v>
      </c>
      <c r="I13" s="282" t="s">
        <v>10</v>
      </c>
    </row>
    <row r="14" spans="1:10">
      <c r="A14" s="28" t="s">
        <v>752</v>
      </c>
      <c r="B14" s="32"/>
      <c r="C14" s="32"/>
      <c r="D14" s="32"/>
      <c r="E14" s="7"/>
      <c r="F14" s="8"/>
      <c r="G14" s="278"/>
      <c r="H14" s="47"/>
      <c r="I14" s="96"/>
    </row>
    <row r="15" spans="1:10">
      <c r="A15" s="28" t="s">
        <v>752</v>
      </c>
      <c r="B15" s="29"/>
      <c r="C15" s="29"/>
      <c r="D15" s="29"/>
      <c r="E15" s="9"/>
      <c r="F15" s="18"/>
      <c r="G15" s="279"/>
      <c r="H15" s="47"/>
      <c r="I15" s="97"/>
    </row>
    <row r="16" spans="1:10">
      <c r="A16" s="28" t="s">
        <v>752</v>
      </c>
      <c r="B16" s="29"/>
      <c r="C16" s="29"/>
      <c r="D16" s="29"/>
      <c r="E16" s="9"/>
      <c r="F16" s="18"/>
      <c r="G16" s="279"/>
      <c r="H16" s="47"/>
      <c r="I16" s="97"/>
    </row>
    <row r="17" spans="1:9">
      <c r="A17" s="28" t="s">
        <v>752</v>
      </c>
      <c r="B17" s="29"/>
      <c r="C17" s="29"/>
      <c r="D17" s="29"/>
      <c r="E17" s="9"/>
      <c r="F17" s="18"/>
      <c r="G17" s="279"/>
      <c r="H17" s="47"/>
      <c r="I17" s="97"/>
    </row>
    <row r="18" spans="1:9">
      <c r="A18" s="28" t="s">
        <v>752</v>
      </c>
      <c r="B18" s="29"/>
      <c r="C18" s="29"/>
      <c r="D18" s="29"/>
      <c r="E18" s="9"/>
      <c r="F18" s="18"/>
      <c r="G18" s="279"/>
      <c r="H18" s="47"/>
      <c r="I18" s="97"/>
    </row>
    <row r="19" spans="1:9">
      <c r="A19" s="28" t="s">
        <v>752</v>
      </c>
      <c r="B19" s="29"/>
      <c r="C19" s="29"/>
      <c r="D19" s="29"/>
      <c r="E19" s="9"/>
      <c r="F19" s="18"/>
      <c r="G19" s="279"/>
      <c r="H19" s="47"/>
      <c r="I19" s="97"/>
    </row>
    <row r="20" spans="1:9">
      <c r="A20" s="28"/>
      <c r="B20" s="29"/>
      <c r="C20" s="29"/>
      <c r="D20" s="29"/>
      <c r="E20" s="9"/>
      <c r="F20" s="18"/>
      <c r="G20" s="279"/>
      <c r="H20" s="47"/>
      <c r="I20" s="97"/>
    </row>
    <row r="21" spans="1:9">
      <c r="A21" s="28"/>
      <c r="B21" s="29"/>
      <c r="C21" s="29"/>
      <c r="D21" s="29"/>
      <c r="E21" s="9"/>
      <c r="F21" s="18"/>
      <c r="G21" s="279"/>
      <c r="H21" s="47"/>
      <c r="I21" s="97"/>
    </row>
    <row r="22" spans="1:9">
      <c r="A22" s="28"/>
      <c r="B22" s="29"/>
      <c r="C22" s="29"/>
      <c r="D22" s="29"/>
      <c r="E22" s="9"/>
      <c r="F22" s="18"/>
      <c r="G22" s="279"/>
      <c r="H22" s="47"/>
      <c r="I22" s="97"/>
    </row>
    <row r="23" spans="1:9">
      <c r="A23" s="28"/>
      <c r="B23" s="29"/>
      <c r="C23" s="29"/>
      <c r="D23" s="29"/>
      <c r="E23" s="9"/>
      <c r="F23" s="18"/>
      <c r="G23" s="279"/>
      <c r="H23" s="47"/>
      <c r="I23" s="97"/>
    </row>
    <row r="24" spans="1:9">
      <c r="A24" s="28"/>
      <c r="B24" s="30"/>
      <c r="C24" s="30"/>
      <c r="D24" s="30"/>
      <c r="E24" s="10"/>
      <c r="F24" s="19"/>
      <c r="G24" s="280"/>
      <c r="H24" s="47"/>
      <c r="I24" s="98"/>
    </row>
    <row r="25" spans="1:9">
      <c r="A25" s="28"/>
      <c r="B25" s="31"/>
      <c r="C25" s="31"/>
      <c r="D25" s="31"/>
      <c r="E25" s="11"/>
      <c r="F25" s="20"/>
      <c r="G25" s="281"/>
      <c r="H25" s="47"/>
      <c r="I25" s="99"/>
    </row>
    <row r="26" spans="1:9">
      <c r="A26" s="31"/>
      <c r="B26" s="31"/>
      <c r="C26" s="31"/>
      <c r="D26" s="31"/>
      <c r="E26" s="11"/>
      <c r="F26" s="20"/>
      <c r="G26" s="281"/>
      <c r="H26" s="47"/>
      <c r="I26" s="99"/>
    </row>
    <row r="27" spans="1:9">
      <c r="A27" s="31"/>
      <c r="B27" s="31"/>
      <c r="C27" s="31"/>
      <c r="D27" s="31"/>
      <c r="E27" s="11"/>
      <c r="F27" s="20"/>
      <c r="G27" s="281"/>
      <c r="H27" s="47"/>
      <c r="I27" s="99"/>
    </row>
    <row r="28" spans="1:9">
      <c r="A28" s="31"/>
      <c r="B28" s="31"/>
      <c r="C28" s="31"/>
      <c r="D28" s="31"/>
      <c r="E28" s="11"/>
      <c r="F28" s="20"/>
      <c r="G28" s="281"/>
      <c r="H28" s="47"/>
      <c r="I28" s="99"/>
    </row>
    <row r="29" spans="1:9">
      <c r="A29" s="31"/>
      <c r="B29" s="31"/>
      <c r="C29" s="31"/>
      <c r="D29" s="31"/>
      <c r="E29" s="11"/>
      <c r="F29" s="20"/>
      <c r="G29" s="281"/>
      <c r="H29" s="47"/>
      <c r="I29" s="99"/>
    </row>
    <row r="30" spans="1:9">
      <c r="A30" s="31"/>
      <c r="B30" s="31"/>
      <c r="C30" s="31"/>
      <c r="D30" s="31"/>
      <c r="E30" s="11"/>
      <c r="F30" s="20"/>
      <c r="G30" s="281"/>
      <c r="H30" s="47"/>
      <c r="I30" s="99"/>
    </row>
    <row r="31" spans="1:9">
      <c r="A31" s="31"/>
      <c r="B31" s="31"/>
      <c r="C31" s="31"/>
      <c r="D31" s="31"/>
      <c r="E31" s="11"/>
      <c r="F31" s="20"/>
      <c r="G31" s="281"/>
      <c r="H31" s="47"/>
      <c r="I31" s="99"/>
    </row>
    <row r="32" spans="1:9">
      <c r="A32" s="31"/>
      <c r="B32" s="31"/>
      <c r="C32" s="31"/>
      <c r="D32" s="31"/>
      <c r="E32" s="11"/>
      <c r="F32" s="20"/>
      <c r="G32" s="281"/>
      <c r="H32" s="47"/>
      <c r="I32" s="99"/>
    </row>
    <row r="33" spans="1:9">
      <c r="A33" s="31"/>
      <c r="B33" s="31"/>
      <c r="C33" s="31"/>
      <c r="D33" s="31"/>
      <c r="E33" s="11"/>
      <c r="F33" s="20"/>
      <c r="G33" s="281"/>
      <c r="H33" s="47"/>
      <c r="I33" s="99"/>
    </row>
    <row r="34" spans="1:9">
      <c r="A34" s="31"/>
      <c r="B34" s="31"/>
      <c r="C34" s="31"/>
      <c r="D34" s="31"/>
      <c r="E34" s="11"/>
      <c r="F34" s="20"/>
      <c r="G34" s="281"/>
      <c r="H34" s="47"/>
      <c r="I34" s="99"/>
    </row>
    <row r="35" spans="1:9">
      <c r="A35" s="31"/>
      <c r="B35" s="31"/>
      <c r="C35" s="31"/>
      <c r="D35" s="31"/>
      <c r="E35" s="11"/>
      <c r="F35" s="20"/>
      <c r="G35" s="281"/>
      <c r="H35" s="47"/>
      <c r="I35" s="99"/>
    </row>
    <row r="36" spans="1:9">
      <c r="A36" s="31"/>
      <c r="B36" s="31"/>
      <c r="C36" s="31"/>
      <c r="D36" s="31"/>
      <c r="E36" s="11"/>
      <c r="F36" s="20"/>
      <c r="G36" s="281"/>
      <c r="H36" s="47"/>
      <c r="I36" s="99"/>
    </row>
    <row r="37" spans="1:9">
      <c r="A37" s="31"/>
      <c r="B37" s="31"/>
      <c r="C37" s="31"/>
      <c r="D37" s="31"/>
      <c r="E37" s="11"/>
      <c r="F37" s="20"/>
      <c r="G37" s="281"/>
      <c r="H37" s="47"/>
      <c r="I37" s="99"/>
    </row>
    <row r="38" spans="1:9">
      <c r="A38" s="31"/>
      <c r="B38" s="31"/>
      <c r="C38" s="31"/>
      <c r="D38" s="31"/>
      <c r="E38" s="11"/>
      <c r="F38" s="20"/>
      <c r="G38" s="281"/>
      <c r="H38" s="47"/>
      <c r="I38" s="99"/>
    </row>
    <row r="39" spans="1:9">
      <c r="A39" s="31"/>
      <c r="B39" s="31"/>
      <c r="C39" s="31"/>
      <c r="D39" s="31"/>
      <c r="E39" s="11"/>
      <c r="F39" s="20"/>
      <c r="G39" s="281"/>
      <c r="H39" s="47"/>
      <c r="I39" s="99"/>
    </row>
    <row r="40" spans="1:9">
      <c r="A40" s="31"/>
      <c r="B40" s="31"/>
      <c r="C40" s="31"/>
      <c r="D40" s="31"/>
      <c r="E40" s="11"/>
      <c r="F40" s="20"/>
      <c r="G40" s="281"/>
      <c r="H40" s="47"/>
      <c r="I40" s="99"/>
    </row>
    <row r="41" spans="1:9">
      <c r="A41" s="31"/>
      <c r="B41" s="31"/>
      <c r="C41" s="31"/>
      <c r="D41" s="31"/>
      <c r="E41" s="11"/>
      <c r="F41" s="20"/>
      <c r="G41" s="281"/>
      <c r="H41" s="47"/>
      <c r="I41" s="99"/>
    </row>
    <row r="42" spans="1:9">
      <c r="A42" s="31"/>
      <c r="B42" s="31"/>
      <c r="C42" s="31"/>
      <c r="D42" s="31"/>
      <c r="E42" s="11"/>
      <c r="F42" s="20"/>
      <c r="G42" s="281"/>
      <c r="H42" s="47"/>
      <c r="I42" s="99"/>
    </row>
    <row r="43" spans="1:9">
      <c r="A43" s="31"/>
      <c r="B43" s="31"/>
      <c r="C43" s="31"/>
      <c r="D43" s="31"/>
      <c r="E43" s="11"/>
      <c r="F43" s="20"/>
      <c r="G43" s="281"/>
      <c r="H43" s="47"/>
      <c r="I43" s="99"/>
    </row>
    <row r="51" spans="1:8" ht="21">
      <c r="A51" s="12"/>
      <c r="B51" s="13" t="s">
        <v>711</v>
      </c>
      <c r="C51" s="14"/>
      <c r="D51" s="14"/>
      <c r="E51" s="12"/>
      <c r="F51" s="12"/>
      <c r="G51" s="12"/>
    </row>
    <row r="53" spans="1:8" ht="15.6">
      <c r="A53" s="369" t="s">
        <v>3</v>
      </c>
      <c r="B53" s="366" t="s">
        <v>712</v>
      </c>
      <c r="C53" s="364" t="s">
        <v>713</v>
      </c>
      <c r="D53" s="361" t="s">
        <v>714</v>
      </c>
      <c r="E53" s="362"/>
      <c r="F53" s="362"/>
      <c r="G53" s="363"/>
      <c r="H53" s="364" t="s">
        <v>715</v>
      </c>
    </row>
    <row r="54" spans="1:8" ht="46.8">
      <c r="A54" s="370"/>
      <c r="B54" s="367"/>
      <c r="C54" s="368"/>
      <c r="D54" s="15" t="s">
        <v>716</v>
      </c>
      <c r="E54" s="15" t="s">
        <v>717</v>
      </c>
      <c r="F54" s="16" t="s">
        <v>718</v>
      </c>
      <c r="G54" s="16" t="s">
        <v>719</v>
      </c>
      <c r="H54" s="365"/>
    </row>
    <row r="55" spans="1:8">
      <c r="A55" s="6" t="s">
        <v>752</v>
      </c>
      <c r="B55" s="33" t="s">
        <v>17</v>
      </c>
      <c r="C55" s="105"/>
      <c r="D55" s="105"/>
      <c r="E55" s="105"/>
      <c r="F55" s="105"/>
      <c r="G55" s="105"/>
      <c r="H55" s="106"/>
    </row>
    <row r="56" spans="1:8">
      <c r="A56" s="6" t="s">
        <v>752</v>
      </c>
      <c r="B56" s="34" t="s">
        <v>720</v>
      </c>
      <c r="C56" s="107"/>
      <c r="D56" s="107"/>
      <c r="E56" s="107"/>
      <c r="F56" s="107"/>
      <c r="G56" s="107"/>
      <c r="H56" s="106"/>
    </row>
    <row r="57" spans="1:8">
      <c r="A57" s="6" t="s">
        <v>752</v>
      </c>
      <c r="B57" s="35" t="s">
        <v>721</v>
      </c>
      <c r="C57" s="109"/>
      <c r="D57" s="109"/>
      <c r="E57" s="109"/>
      <c r="F57" s="109"/>
      <c r="G57" s="109"/>
      <c r="H57" s="106"/>
    </row>
    <row r="58" spans="1:8">
      <c r="A58" s="6" t="s">
        <v>752</v>
      </c>
      <c r="B58" s="21"/>
      <c r="C58" s="110"/>
      <c r="D58" s="110"/>
      <c r="E58" s="110"/>
      <c r="F58" s="110"/>
      <c r="G58" s="110"/>
      <c r="H58" s="106"/>
    </row>
    <row r="59" spans="1:8">
      <c r="A59" s="37" t="s">
        <v>722</v>
      </c>
      <c r="B59" s="38"/>
      <c r="C59" s="107">
        <f t="shared" ref="C59:H59" si="0">SUM(C55:C58)</f>
        <v>0</v>
      </c>
      <c r="D59" s="108">
        <f t="shared" si="0"/>
        <v>0</v>
      </c>
      <c r="E59" s="108">
        <f t="shared" si="0"/>
        <v>0</v>
      </c>
      <c r="F59" s="108">
        <f t="shared" si="0"/>
        <v>0</v>
      </c>
      <c r="G59" s="108">
        <f t="shared" si="0"/>
        <v>0</v>
      </c>
      <c r="H59" s="108">
        <f t="shared" si="0"/>
        <v>0</v>
      </c>
    </row>
  </sheetData>
  <protectedRanges>
    <protectedRange sqref="H13" name="Rango1"/>
  </protectedRanges>
  <mergeCells count="7">
    <mergeCell ref="A9:J9"/>
    <mergeCell ref="A10:J10"/>
    <mergeCell ref="A53:A54"/>
    <mergeCell ref="B53:B54"/>
    <mergeCell ref="C53:C54"/>
    <mergeCell ref="D53:G53"/>
    <mergeCell ref="H53:H54"/>
  </mergeCells>
  <dataValidations count="3">
    <dataValidation type="list" allowBlank="1" showInputMessage="1" showErrorMessage="1" sqref="G14:G43" xr:uid="{FD670658-4F3F-4B57-9740-88520C34B6B9}">
      <formula1>"Ejecutado, No ejecutado, En Proceso"</formula1>
    </dataValidation>
    <dataValidation type="date" allowBlank="1" showInputMessage="1" showErrorMessage="1" sqref="F14:F43" xr:uid="{A2567ACA-33C6-416E-A815-01603FEACD8B}">
      <formula1>45931</formula1>
      <formula2>46022</formula2>
    </dataValidation>
    <dataValidation type="list" allowBlank="1" showInputMessage="1" showErrorMessage="1" sqref="D43" xr:uid="{32123525-A879-479D-B36D-D471DC382446}">
      <formula1>"Santa de Paula"</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208F5-0274-4E03-813C-24C93DA4F17D}">
  <sheetPr>
    <tabColor rgb="FF00B050"/>
  </sheetPr>
  <dimension ref="A6:J39"/>
  <sheetViews>
    <sheetView topLeftCell="E1" workbookViewId="0">
      <selection activeCell="H13" sqref="H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9" width="27.1093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c r="B13" s="27" t="s">
        <v>749</v>
      </c>
      <c r="C13" s="26" t="s">
        <v>5</v>
      </c>
      <c r="D13" s="27" t="s">
        <v>6</v>
      </c>
      <c r="E13" s="4" t="s">
        <v>7</v>
      </c>
      <c r="F13" s="17" t="s">
        <v>8</v>
      </c>
      <c r="G13" s="284" t="s">
        <v>9</v>
      </c>
      <c r="H13" s="283" t="s">
        <v>710</v>
      </c>
      <c r="I13" s="282" t="s">
        <v>10</v>
      </c>
    </row>
    <row r="14" spans="1:10" ht="43.2">
      <c r="A14" s="76" t="s">
        <v>502</v>
      </c>
      <c r="B14" s="116" t="s">
        <v>503</v>
      </c>
      <c r="C14" s="239" t="s">
        <v>504</v>
      </c>
      <c r="D14" s="239" t="s">
        <v>505</v>
      </c>
      <c r="E14" s="240"/>
      <c r="F14" s="241">
        <v>45974</v>
      </c>
      <c r="G14" s="334"/>
      <c r="H14" s="47"/>
      <c r="I14" s="335"/>
    </row>
    <row r="15" spans="1:10" ht="57.6">
      <c r="A15" s="76" t="s">
        <v>502</v>
      </c>
      <c r="B15" s="116" t="s">
        <v>506</v>
      </c>
      <c r="C15" s="29" t="s">
        <v>507</v>
      </c>
      <c r="D15" s="239" t="s">
        <v>505</v>
      </c>
      <c r="E15" s="9"/>
      <c r="F15" s="18">
        <v>45995</v>
      </c>
      <c r="G15" s="286"/>
      <c r="H15" s="47"/>
      <c r="I15" s="97"/>
    </row>
    <row r="16" spans="1:10" ht="28.8">
      <c r="A16" s="76" t="s">
        <v>502</v>
      </c>
      <c r="B16" s="116" t="s">
        <v>508</v>
      </c>
      <c r="C16" s="29" t="s">
        <v>509</v>
      </c>
      <c r="D16" s="239" t="s">
        <v>505</v>
      </c>
      <c r="E16" s="9"/>
      <c r="F16" s="18">
        <v>45961</v>
      </c>
      <c r="G16" s="286"/>
      <c r="H16" s="47"/>
      <c r="I16" s="97"/>
    </row>
    <row r="17" spans="1:9" ht="57.6">
      <c r="A17" s="76" t="s">
        <v>502</v>
      </c>
      <c r="B17" s="116" t="s">
        <v>510</v>
      </c>
      <c r="C17" s="29" t="s">
        <v>511</v>
      </c>
      <c r="D17" s="239" t="s">
        <v>505</v>
      </c>
      <c r="E17" s="9"/>
      <c r="F17" s="18">
        <v>45933</v>
      </c>
      <c r="G17" s="286" t="s">
        <v>512</v>
      </c>
      <c r="H17" s="47"/>
      <c r="I17" s="97" t="s">
        <v>513</v>
      </c>
    </row>
    <row r="18" spans="1:9" ht="43.2">
      <c r="A18" s="76" t="s">
        <v>502</v>
      </c>
      <c r="B18" s="116" t="s">
        <v>514</v>
      </c>
      <c r="C18" s="29" t="s">
        <v>515</v>
      </c>
      <c r="D18" s="239" t="s">
        <v>505</v>
      </c>
      <c r="E18" s="9"/>
      <c r="F18" s="18">
        <v>46004</v>
      </c>
      <c r="G18" s="286"/>
      <c r="H18" s="47"/>
      <c r="I18" s="97"/>
    </row>
    <row r="19" spans="1:9" ht="28.8">
      <c r="A19" s="76" t="s">
        <v>502</v>
      </c>
      <c r="B19" s="116" t="s">
        <v>516</v>
      </c>
      <c r="C19" s="29" t="s">
        <v>517</v>
      </c>
      <c r="D19" s="239" t="s">
        <v>505</v>
      </c>
      <c r="E19" s="9"/>
      <c r="F19" s="18">
        <v>45953</v>
      </c>
      <c r="G19" s="286"/>
      <c r="H19" s="47"/>
      <c r="I19" s="97"/>
    </row>
    <row r="20" spans="1:9" ht="72">
      <c r="A20" s="76" t="s">
        <v>502</v>
      </c>
      <c r="B20" s="116" t="s">
        <v>518</v>
      </c>
      <c r="C20" s="29" t="s">
        <v>519</v>
      </c>
      <c r="D20" s="239" t="s">
        <v>505</v>
      </c>
      <c r="E20" s="9"/>
      <c r="F20" s="18">
        <v>45988</v>
      </c>
      <c r="G20" s="286"/>
      <c r="H20" s="47"/>
      <c r="I20" s="97"/>
    </row>
    <row r="21" spans="1:9" ht="43.2">
      <c r="A21" s="76" t="s">
        <v>502</v>
      </c>
      <c r="B21" s="116" t="s">
        <v>520</v>
      </c>
      <c r="C21" s="29" t="s">
        <v>521</v>
      </c>
      <c r="D21" s="239" t="s">
        <v>505</v>
      </c>
      <c r="E21" s="9"/>
      <c r="F21" s="18">
        <v>45981</v>
      </c>
      <c r="G21" s="286"/>
      <c r="H21" s="47"/>
      <c r="I21" s="97"/>
    </row>
    <row r="22" spans="1:9" ht="28.8">
      <c r="A22" s="76" t="s">
        <v>502</v>
      </c>
      <c r="B22" s="9" t="s">
        <v>522</v>
      </c>
      <c r="C22" s="29"/>
      <c r="D22" s="29"/>
      <c r="E22" s="9"/>
      <c r="F22" s="18"/>
      <c r="G22" s="286"/>
      <c r="H22" s="47"/>
      <c r="I22" s="97"/>
    </row>
    <row r="31" spans="1:9" ht="21">
      <c r="A31" s="12"/>
      <c r="B31" s="13" t="s">
        <v>711</v>
      </c>
      <c r="C31" s="14"/>
      <c r="D31" s="14"/>
      <c r="E31" s="12"/>
      <c r="F31" s="12"/>
      <c r="G31" s="12"/>
    </row>
    <row r="33" spans="1:8" ht="15.6">
      <c r="A33" s="369" t="s">
        <v>3</v>
      </c>
      <c r="B33" s="366" t="s">
        <v>712</v>
      </c>
      <c r="C33" s="364" t="s">
        <v>713</v>
      </c>
      <c r="D33" s="361" t="s">
        <v>714</v>
      </c>
      <c r="E33" s="362"/>
      <c r="F33" s="362"/>
      <c r="G33" s="363"/>
      <c r="H33" s="364" t="s">
        <v>715</v>
      </c>
    </row>
    <row r="34" spans="1:8" ht="46.8">
      <c r="A34" s="370"/>
      <c r="B34" s="367"/>
      <c r="C34" s="368"/>
      <c r="D34" s="15" t="s">
        <v>716</v>
      </c>
      <c r="E34" s="15" t="s">
        <v>717</v>
      </c>
      <c r="F34" s="16" t="s">
        <v>718</v>
      </c>
      <c r="G34" s="16" t="s">
        <v>719</v>
      </c>
      <c r="H34" s="365"/>
    </row>
    <row r="35" spans="1:8">
      <c r="A35" s="6" t="s">
        <v>502</v>
      </c>
      <c r="B35" s="33" t="s">
        <v>17</v>
      </c>
      <c r="C35" s="105"/>
      <c r="D35" s="105"/>
      <c r="E35" s="105"/>
      <c r="F35" s="105"/>
      <c r="G35" s="105"/>
      <c r="H35" s="106"/>
    </row>
    <row r="36" spans="1:8">
      <c r="A36" s="6" t="s">
        <v>502</v>
      </c>
      <c r="B36" s="34" t="s">
        <v>720</v>
      </c>
      <c r="C36" s="107"/>
      <c r="D36" s="107"/>
      <c r="E36" s="107"/>
      <c r="F36" s="107"/>
      <c r="G36" s="107"/>
      <c r="H36" s="106"/>
    </row>
    <row r="37" spans="1:8">
      <c r="A37" s="6" t="s">
        <v>502</v>
      </c>
      <c r="B37" s="35" t="s">
        <v>721</v>
      </c>
      <c r="C37" s="109"/>
      <c r="D37" s="109"/>
      <c r="E37" s="109"/>
      <c r="F37" s="109"/>
      <c r="G37" s="109"/>
      <c r="H37" s="106"/>
    </row>
    <row r="38" spans="1:8">
      <c r="A38" s="6" t="s">
        <v>502</v>
      </c>
      <c r="B38" s="21"/>
      <c r="C38" s="110"/>
      <c r="D38" s="110"/>
      <c r="E38" s="110"/>
      <c r="F38" s="110"/>
      <c r="G38" s="110"/>
      <c r="H38" s="106"/>
    </row>
    <row r="39" spans="1:8">
      <c r="A39" s="37" t="s">
        <v>722</v>
      </c>
      <c r="B39" s="38"/>
      <c r="C39" s="107">
        <f t="shared" ref="C39:H39" si="0">SUM(C35:C38)</f>
        <v>0</v>
      </c>
      <c r="D39" s="108">
        <f t="shared" si="0"/>
        <v>0</v>
      </c>
      <c r="E39" s="108">
        <f t="shared" si="0"/>
        <v>0</v>
      </c>
      <c r="F39" s="108">
        <f t="shared" si="0"/>
        <v>0</v>
      </c>
      <c r="G39" s="108">
        <f t="shared" si="0"/>
        <v>0</v>
      </c>
      <c r="H39" s="108">
        <f t="shared" si="0"/>
        <v>0</v>
      </c>
    </row>
  </sheetData>
  <protectedRanges>
    <protectedRange sqref="H13" name="Rango1"/>
  </protectedRanges>
  <mergeCells count="7">
    <mergeCell ref="A9:J9"/>
    <mergeCell ref="A10:J10"/>
    <mergeCell ref="A33:A34"/>
    <mergeCell ref="B33:B34"/>
    <mergeCell ref="C33:C34"/>
    <mergeCell ref="D33:G33"/>
    <mergeCell ref="H33:H34"/>
  </mergeCells>
  <dataValidations count="3">
    <dataValidation type="list" allowBlank="1" showInputMessage="1" showErrorMessage="1" sqref="G14:G22" xr:uid="{AD8CC8DC-E17E-4A7D-BA27-76BE27A775B9}">
      <formula1>"Ejecutado, No ejecutado, En Proceso"</formula1>
    </dataValidation>
    <dataValidation type="date" allowBlank="1" showInputMessage="1" showErrorMessage="1" sqref="E14:E22" xr:uid="{13EEFA70-E1D0-4C10-9408-409004604221}">
      <formula1>45931</formula1>
      <formula2>46022</formula2>
    </dataValidation>
    <dataValidation type="list" allowBlank="1" showInputMessage="1" showErrorMessage="1" sqref="D14:D22" xr:uid="{2CE8E6E4-812C-4ED9-95EB-07091A839C56}">
      <formula1>"Mayra Frías"</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00BF3-AD4A-440B-8FC7-EA28F6FDF42C}">
  <sheetPr>
    <tabColor rgb="FF00B050"/>
  </sheetPr>
  <dimension ref="A6:J38"/>
  <sheetViews>
    <sheetView topLeftCell="C5" workbookViewId="0">
      <selection activeCell="H13" sqref="H13"/>
    </sheetView>
  </sheetViews>
  <sheetFormatPr baseColWidth="10" defaultColWidth="11.44140625" defaultRowHeight="14.4"/>
  <cols>
    <col min="1" max="1" width="29.44140625" customWidth="1"/>
    <col min="2" max="2" width="40.44140625" customWidth="1"/>
    <col min="3" max="3" width="35.5546875" customWidth="1"/>
    <col min="4" max="4" width="21.88671875" customWidth="1"/>
    <col min="5" max="5" width="19.6640625" customWidth="1"/>
    <col min="6" max="6" width="20.88671875" customWidth="1"/>
    <col min="7" max="7" width="17.44140625" customWidth="1"/>
    <col min="8" max="8" width="27.109375" customWidth="1"/>
    <col min="9" max="9" width="32.664062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749</v>
      </c>
      <c r="C13" s="26" t="s">
        <v>5</v>
      </c>
      <c r="D13" s="27" t="s">
        <v>6</v>
      </c>
      <c r="E13" s="4" t="s">
        <v>7</v>
      </c>
      <c r="F13" s="17" t="s">
        <v>8</v>
      </c>
      <c r="G13" s="284" t="s">
        <v>9</v>
      </c>
      <c r="H13" s="283" t="s">
        <v>710</v>
      </c>
      <c r="I13" s="282" t="s">
        <v>10</v>
      </c>
    </row>
    <row r="14" spans="1:10" ht="106.5" customHeight="1">
      <c r="A14" s="28" t="s">
        <v>523</v>
      </c>
      <c r="B14" s="173" t="s">
        <v>524</v>
      </c>
      <c r="C14" s="32" t="s">
        <v>525</v>
      </c>
      <c r="D14" s="32" t="s">
        <v>526</v>
      </c>
      <c r="E14" s="7" t="s">
        <v>527</v>
      </c>
      <c r="F14" s="8">
        <v>46006</v>
      </c>
      <c r="G14" s="285"/>
      <c r="H14" s="47"/>
      <c r="I14" s="96"/>
    </row>
    <row r="15" spans="1:10" ht="86.4">
      <c r="A15" s="28" t="s">
        <v>523</v>
      </c>
      <c r="B15" s="174" t="s">
        <v>528</v>
      </c>
      <c r="C15" s="29" t="s">
        <v>529</v>
      </c>
      <c r="D15" s="177" t="s">
        <v>526</v>
      </c>
      <c r="E15" s="9" t="s">
        <v>359</v>
      </c>
      <c r="F15" s="181">
        <v>45931</v>
      </c>
      <c r="G15" s="286"/>
      <c r="H15" s="47"/>
      <c r="I15" s="97"/>
    </row>
    <row r="16" spans="1:10" ht="102.75" customHeight="1">
      <c r="A16" s="28" t="s">
        <v>523</v>
      </c>
      <c r="B16" s="174" t="s">
        <v>530</v>
      </c>
      <c r="C16" s="29" t="s">
        <v>531</v>
      </c>
      <c r="D16" s="177" t="s">
        <v>526</v>
      </c>
      <c r="E16" s="9" t="s">
        <v>356</v>
      </c>
      <c r="F16" s="181">
        <v>46008</v>
      </c>
      <c r="G16" s="286"/>
      <c r="H16" s="47"/>
      <c r="I16" s="97"/>
    </row>
    <row r="17" spans="1:9" ht="104.25" customHeight="1">
      <c r="A17" s="28" t="s">
        <v>523</v>
      </c>
      <c r="B17" s="174" t="s">
        <v>532</v>
      </c>
      <c r="C17" s="29" t="s">
        <v>533</v>
      </c>
      <c r="D17" s="177" t="s">
        <v>526</v>
      </c>
      <c r="E17" s="9" t="s">
        <v>534</v>
      </c>
      <c r="F17" s="181">
        <v>46009</v>
      </c>
      <c r="G17" s="286"/>
      <c r="H17" s="47"/>
      <c r="I17" s="97"/>
    </row>
    <row r="18" spans="1:9" ht="109.5" customHeight="1">
      <c r="A18" s="28" t="s">
        <v>523</v>
      </c>
      <c r="B18" s="174" t="s">
        <v>535</v>
      </c>
      <c r="C18" s="29" t="s">
        <v>536</v>
      </c>
      <c r="D18" s="177" t="s">
        <v>526</v>
      </c>
      <c r="E18" s="9" t="s">
        <v>362</v>
      </c>
      <c r="F18" s="181">
        <v>46010</v>
      </c>
      <c r="G18" s="286"/>
      <c r="H18" s="47"/>
      <c r="I18" s="97"/>
    </row>
    <row r="19" spans="1:9" ht="113.25" customHeight="1">
      <c r="A19" s="28" t="s">
        <v>523</v>
      </c>
      <c r="B19" s="174" t="s">
        <v>537</v>
      </c>
      <c r="C19" s="29" t="s">
        <v>538</v>
      </c>
      <c r="D19" s="177" t="s">
        <v>526</v>
      </c>
      <c r="E19" s="178" t="s">
        <v>539</v>
      </c>
      <c r="F19" s="181">
        <v>46011</v>
      </c>
      <c r="G19" s="286"/>
      <c r="H19" s="47"/>
      <c r="I19" s="97"/>
    </row>
    <row r="20" spans="1:9" ht="86.4">
      <c r="A20" s="28" t="s">
        <v>523</v>
      </c>
      <c r="B20" s="174" t="s">
        <v>540</v>
      </c>
      <c r="C20" s="29" t="s">
        <v>541</v>
      </c>
      <c r="D20" s="177" t="s">
        <v>526</v>
      </c>
      <c r="E20" s="9"/>
      <c r="F20" s="181">
        <v>46012</v>
      </c>
      <c r="G20" s="286"/>
      <c r="H20" s="47"/>
      <c r="I20" s="97"/>
    </row>
    <row r="21" spans="1:9" ht="100.8">
      <c r="A21" s="76" t="s">
        <v>523</v>
      </c>
      <c r="B21" s="179" t="s">
        <v>542</v>
      </c>
      <c r="C21" s="29" t="s">
        <v>543</v>
      </c>
      <c r="D21" s="180" t="s">
        <v>526</v>
      </c>
      <c r="E21" s="9" t="s">
        <v>359</v>
      </c>
      <c r="F21" s="182">
        <v>46013</v>
      </c>
      <c r="G21" s="286"/>
      <c r="H21" s="47"/>
      <c r="I21" s="97"/>
    </row>
    <row r="22" spans="1:9" ht="86.4">
      <c r="A22" s="232" t="s">
        <v>523</v>
      </c>
      <c r="B22" s="179" t="s">
        <v>544</v>
      </c>
      <c r="C22" s="29" t="s">
        <v>545</v>
      </c>
      <c r="D22" s="180" t="s">
        <v>526</v>
      </c>
      <c r="E22" s="9" t="s">
        <v>546</v>
      </c>
      <c r="F22" s="182">
        <v>45945</v>
      </c>
      <c r="G22" s="286"/>
      <c r="H22" s="47"/>
      <c r="I22" s="97"/>
    </row>
    <row r="30" spans="1:9" ht="21">
      <c r="A30" s="12"/>
      <c r="B30" s="13" t="s">
        <v>711</v>
      </c>
      <c r="C30" s="14"/>
      <c r="D30" s="14"/>
      <c r="E30" s="12"/>
      <c r="F30" s="12"/>
      <c r="G30" s="12"/>
    </row>
    <row r="32" spans="1:9" ht="15.6">
      <c r="A32" s="369" t="s">
        <v>3</v>
      </c>
      <c r="B32" s="366" t="s">
        <v>712</v>
      </c>
      <c r="C32" s="364" t="s">
        <v>713</v>
      </c>
      <c r="D32" s="361" t="s">
        <v>714</v>
      </c>
      <c r="E32" s="362"/>
      <c r="F32" s="362"/>
      <c r="G32" s="363"/>
      <c r="H32" s="364" t="s">
        <v>715</v>
      </c>
    </row>
    <row r="33" spans="1:8" ht="46.8">
      <c r="A33" s="370"/>
      <c r="B33" s="367"/>
      <c r="C33" s="368"/>
      <c r="D33" s="15" t="s">
        <v>716</v>
      </c>
      <c r="E33" s="15" t="s">
        <v>717</v>
      </c>
      <c r="F33" s="16" t="s">
        <v>718</v>
      </c>
      <c r="G33" s="16" t="s">
        <v>719</v>
      </c>
      <c r="H33" s="365"/>
    </row>
    <row r="34" spans="1:8">
      <c r="A34" s="6" t="s">
        <v>523</v>
      </c>
      <c r="B34" s="33" t="s">
        <v>17</v>
      </c>
      <c r="C34" s="105"/>
      <c r="D34" s="105"/>
      <c r="E34" s="105"/>
      <c r="F34" s="105"/>
      <c r="G34" s="105"/>
      <c r="H34" s="106"/>
    </row>
    <row r="35" spans="1:8">
      <c r="A35" s="6" t="s">
        <v>523</v>
      </c>
      <c r="B35" s="34" t="s">
        <v>720</v>
      </c>
      <c r="C35" s="107"/>
      <c r="D35" s="107"/>
      <c r="E35" s="107"/>
      <c r="F35" s="107"/>
      <c r="G35" s="107"/>
      <c r="H35" s="106"/>
    </row>
    <row r="36" spans="1:8">
      <c r="A36" s="6" t="s">
        <v>523</v>
      </c>
      <c r="B36" s="35" t="s">
        <v>721</v>
      </c>
      <c r="C36" s="109"/>
      <c r="D36" s="109"/>
      <c r="E36" s="109"/>
      <c r="F36" s="109"/>
      <c r="G36" s="109"/>
      <c r="H36" s="106"/>
    </row>
    <row r="37" spans="1:8">
      <c r="A37" s="6" t="s">
        <v>523</v>
      </c>
      <c r="B37" s="21"/>
      <c r="C37" s="110"/>
      <c r="D37" s="110"/>
      <c r="E37" s="110"/>
      <c r="F37" s="110"/>
      <c r="G37" s="110"/>
      <c r="H37" s="106"/>
    </row>
    <row r="38" spans="1:8">
      <c r="A38" s="37" t="s">
        <v>722</v>
      </c>
      <c r="B38" s="38"/>
      <c r="C38" s="107">
        <f t="shared" ref="C38:H38" si="0">SUM(C34:C37)</f>
        <v>0</v>
      </c>
      <c r="D38" s="108">
        <f t="shared" si="0"/>
        <v>0</v>
      </c>
      <c r="E38" s="108">
        <f t="shared" si="0"/>
        <v>0</v>
      </c>
      <c r="F38" s="108">
        <f t="shared" si="0"/>
        <v>0</v>
      </c>
      <c r="G38" s="108">
        <f t="shared" si="0"/>
        <v>0</v>
      </c>
      <c r="H38" s="108">
        <f t="shared" si="0"/>
        <v>0</v>
      </c>
    </row>
  </sheetData>
  <protectedRanges>
    <protectedRange sqref="H13" name="Rango1"/>
  </protectedRanges>
  <mergeCells count="7">
    <mergeCell ref="A9:J9"/>
    <mergeCell ref="A10:J10"/>
    <mergeCell ref="A32:A33"/>
    <mergeCell ref="B32:B33"/>
    <mergeCell ref="C32:C33"/>
    <mergeCell ref="D32:G32"/>
    <mergeCell ref="H32:H33"/>
  </mergeCells>
  <dataValidations count="3">
    <dataValidation type="list" allowBlank="1" showInputMessage="1" showErrorMessage="1" sqref="G14:G22" xr:uid="{AA1E90E8-2941-40B8-B2E9-6B52EC4E349B}">
      <formula1>"Ejecutado, No ejecutado, En Proceso"</formula1>
    </dataValidation>
    <dataValidation type="date" allowBlank="1" showInputMessage="1" showErrorMessage="1" sqref="F14:F22" xr:uid="{C78445DB-E5AE-4E57-B618-197DCF7E5126}">
      <formula1>45931</formula1>
      <formula2>46022</formula2>
    </dataValidation>
    <dataValidation type="list" allowBlank="1" showInputMessage="1" showErrorMessage="1" sqref="D14:D22" xr:uid="{EAB3024F-A30E-4231-9E27-A1986620DF5D}">
      <formula1>"Heysin Sosa"</formula1>
    </dataValidation>
  </dataValidation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A0360-3594-4530-A1DF-22F214E2F30D}">
  <sheetPr>
    <tabColor rgb="FF00B050"/>
  </sheetPr>
  <dimension ref="A6:J60"/>
  <sheetViews>
    <sheetView topLeftCell="C1" workbookViewId="0">
      <selection activeCell="H13" sqref="H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9"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749</v>
      </c>
      <c r="C13" s="26" t="s">
        <v>5</v>
      </c>
      <c r="D13" s="27" t="s">
        <v>6</v>
      </c>
      <c r="E13" s="4" t="s">
        <v>7</v>
      </c>
      <c r="F13" s="17" t="s">
        <v>8</v>
      </c>
      <c r="G13" s="284" t="s">
        <v>9</v>
      </c>
      <c r="H13" s="283" t="s">
        <v>710</v>
      </c>
      <c r="I13" s="282" t="s">
        <v>10</v>
      </c>
    </row>
    <row r="14" spans="1:10" ht="86.4">
      <c r="A14" s="270" t="s">
        <v>688</v>
      </c>
      <c r="B14" s="271" t="s">
        <v>689</v>
      </c>
      <c r="C14" s="272" t="s">
        <v>690</v>
      </c>
      <c r="D14" s="272" t="s">
        <v>691</v>
      </c>
      <c r="E14" s="272" t="s">
        <v>692</v>
      </c>
      <c r="F14" s="272" t="s">
        <v>693</v>
      </c>
      <c r="G14" s="340" t="s">
        <v>148</v>
      </c>
      <c r="H14" s="47"/>
      <c r="I14" s="272" t="s">
        <v>152</v>
      </c>
    </row>
    <row r="15" spans="1:10" ht="100.8">
      <c r="A15" s="270" t="s">
        <v>688</v>
      </c>
      <c r="B15" s="273" t="s">
        <v>694</v>
      </c>
      <c r="C15" s="274" t="s">
        <v>695</v>
      </c>
      <c r="D15" s="274" t="s">
        <v>691</v>
      </c>
      <c r="E15" s="274" t="s">
        <v>696</v>
      </c>
      <c r="F15" s="274" t="s">
        <v>697</v>
      </c>
      <c r="G15" s="341" t="s">
        <v>148</v>
      </c>
      <c r="H15" s="47"/>
      <c r="I15" s="274" t="s">
        <v>152</v>
      </c>
    </row>
    <row r="16" spans="1:10" ht="100.8">
      <c r="A16" s="270" t="s">
        <v>688</v>
      </c>
      <c r="B16" s="273" t="s">
        <v>698</v>
      </c>
      <c r="C16" s="273" t="s">
        <v>699</v>
      </c>
      <c r="D16" s="273" t="s">
        <v>691</v>
      </c>
      <c r="E16" s="273" t="s">
        <v>700</v>
      </c>
      <c r="F16" s="273" t="s">
        <v>701</v>
      </c>
      <c r="G16" s="342" t="s">
        <v>148</v>
      </c>
      <c r="H16" s="47"/>
      <c r="I16" s="273" t="s">
        <v>152</v>
      </c>
    </row>
    <row r="17" spans="1:9" ht="86.4">
      <c r="A17" s="270" t="s">
        <v>688</v>
      </c>
      <c r="B17" s="273" t="s">
        <v>702</v>
      </c>
      <c r="C17" s="273" t="s">
        <v>703</v>
      </c>
      <c r="D17" s="273" t="s">
        <v>691</v>
      </c>
      <c r="E17" s="273" t="s">
        <v>704</v>
      </c>
      <c r="F17" s="275">
        <v>45849</v>
      </c>
      <c r="G17" s="342" t="s">
        <v>148</v>
      </c>
      <c r="H17" s="47"/>
      <c r="I17" s="273" t="s">
        <v>152</v>
      </c>
    </row>
    <row r="18" spans="1:9" ht="57.6">
      <c r="A18" s="270" t="s">
        <v>688</v>
      </c>
      <c r="B18" s="273" t="s">
        <v>705</v>
      </c>
      <c r="C18" s="273" t="s">
        <v>706</v>
      </c>
      <c r="D18" s="273" t="s">
        <v>691</v>
      </c>
      <c r="E18" s="273" t="s">
        <v>707</v>
      </c>
      <c r="F18" s="273" t="s">
        <v>708</v>
      </c>
      <c r="G18" s="342" t="s">
        <v>148</v>
      </c>
      <c r="H18" s="47"/>
      <c r="I18" s="273" t="s">
        <v>152</v>
      </c>
    </row>
    <row r="19" spans="1:9">
      <c r="A19" s="28" t="s">
        <v>688</v>
      </c>
      <c r="B19" s="29"/>
      <c r="C19" s="29"/>
      <c r="D19" s="29"/>
      <c r="E19" s="9"/>
      <c r="F19" s="18"/>
      <c r="G19" s="286"/>
      <c r="H19" s="47"/>
      <c r="I19" s="97"/>
    </row>
    <row r="20" spans="1:9">
      <c r="A20" s="28" t="s">
        <v>688</v>
      </c>
      <c r="B20" s="29"/>
      <c r="C20" s="29"/>
      <c r="D20" s="29"/>
      <c r="E20" s="9"/>
      <c r="F20" s="18"/>
      <c r="G20" s="286"/>
      <c r="H20" s="47"/>
      <c r="I20" s="97"/>
    </row>
    <row r="21" spans="1:9">
      <c r="A21" s="28" t="s">
        <v>688</v>
      </c>
      <c r="B21" s="29"/>
      <c r="C21" s="29"/>
      <c r="D21" s="29"/>
      <c r="E21" s="9"/>
      <c r="F21" s="18"/>
      <c r="G21" s="286"/>
      <c r="H21" s="47"/>
      <c r="I21" s="97"/>
    </row>
    <row r="22" spans="1:9">
      <c r="A22" s="28" t="s">
        <v>688</v>
      </c>
      <c r="B22" s="29"/>
      <c r="C22" s="29"/>
      <c r="D22" s="29"/>
      <c r="E22" s="9"/>
      <c r="F22" s="18"/>
      <c r="G22" s="286"/>
      <c r="H22" s="47"/>
      <c r="I22" s="97"/>
    </row>
    <row r="23" spans="1:9">
      <c r="A23" s="28"/>
      <c r="B23" s="29"/>
      <c r="C23" s="29"/>
      <c r="D23" s="29"/>
      <c r="E23" s="9"/>
      <c r="F23" s="18"/>
      <c r="G23" s="286"/>
      <c r="H23" s="47"/>
      <c r="I23" s="97"/>
    </row>
    <row r="24" spans="1:9">
      <c r="A24" s="28"/>
      <c r="B24" s="30"/>
      <c r="C24" s="30"/>
      <c r="D24" s="30"/>
      <c r="E24" s="10"/>
      <c r="F24" s="19"/>
      <c r="G24" s="287"/>
      <c r="H24" s="47"/>
      <c r="I24" s="98"/>
    </row>
    <row r="25" spans="1:9">
      <c r="A25" s="28"/>
      <c r="B25" s="31"/>
      <c r="C25" s="31"/>
      <c r="D25" s="31"/>
      <c r="E25" s="11"/>
      <c r="F25" s="20"/>
      <c r="G25" s="288"/>
      <c r="H25" s="47"/>
      <c r="I25" s="99"/>
    </row>
    <row r="26" spans="1:9">
      <c r="A26" s="31"/>
      <c r="B26" s="31"/>
      <c r="C26" s="31"/>
      <c r="D26" s="31"/>
      <c r="E26" s="11"/>
      <c r="F26" s="20"/>
      <c r="G26" s="288"/>
      <c r="H26" s="47"/>
      <c r="I26" s="99"/>
    </row>
    <row r="27" spans="1:9">
      <c r="A27" s="31"/>
      <c r="B27" s="31"/>
      <c r="C27" s="31"/>
      <c r="D27" s="31"/>
      <c r="E27" s="11"/>
      <c r="F27" s="20"/>
      <c r="G27" s="288"/>
      <c r="H27" s="47"/>
      <c r="I27" s="99"/>
    </row>
    <row r="28" spans="1:9">
      <c r="A28" s="31"/>
      <c r="B28" s="31"/>
      <c r="C28" s="31"/>
      <c r="D28" s="31"/>
      <c r="E28" s="11"/>
      <c r="F28" s="20"/>
      <c r="G28" s="288"/>
      <c r="H28" s="47"/>
      <c r="I28" s="99"/>
    </row>
    <row r="29" spans="1:9">
      <c r="A29" s="31"/>
      <c r="B29" s="31"/>
      <c r="C29" s="31"/>
      <c r="D29" s="31"/>
      <c r="E29" s="11"/>
      <c r="F29" s="20"/>
      <c r="G29" s="288"/>
      <c r="H29" s="47"/>
      <c r="I29" s="99"/>
    </row>
    <row r="30" spans="1:9">
      <c r="A30" s="31"/>
      <c r="B30" s="31"/>
      <c r="C30" s="31"/>
      <c r="D30" s="31"/>
      <c r="E30" s="11"/>
      <c r="F30" s="20"/>
      <c r="G30" s="288"/>
      <c r="H30" s="47"/>
      <c r="I30" s="99"/>
    </row>
    <row r="31" spans="1:9">
      <c r="A31" s="31"/>
      <c r="B31" s="31"/>
      <c r="C31" s="31"/>
      <c r="D31" s="31"/>
      <c r="E31" s="11"/>
      <c r="F31" s="20"/>
      <c r="G31" s="288"/>
      <c r="H31" s="47"/>
      <c r="I31" s="99"/>
    </row>
    <row r="32" spans="1:9">
      <c r="A32" s="31"/>
      <c r="B32" s="31"/>
      <c r="C32" s="31"/>
      <c r="D32" s="31"/>
      <c r="E32" s="11"/>
      <c r="F32" s="20"/>
      <c r="G32" s="288"/>
      <c r="H32" s="47"/>
      <c r="I32" s="99"/>
    </row>
    <row r="33" spans="1:9">
      <c r="A33" s="31"/>
      <c r="B33" s="31"/>
      <c r="C33" s="31"/>
      <c r="D33" s="31"/>
      <c r="E33" s="11"/>
      <c r="F33" s="20"/>
      <c r="G33" s="288"/>
      <c r="H33" s="47"/>
      <c r="I33" s="99"/>
    </row>
    <row r="34" spans="1:9">
      <c r="A34" s="31"/>
      <c r="B34" s="31"/>
      <c r="C34" s="31"/>
      <c r="D34" s="31"/>
      <c r="E34" s="11"/>
      <c r="F34" s="20"/>
      <c r="G34" s="288"/>
      <c r="H34" s="47"/>
      <c r="I34" s="99"/>
    </row>
    <row r="35" spans="1:9">
      <c r="A35" s="31"/>
      <c r="B35" s="31"/>
      <c r="C35" s="31"/>
      <c r="D35" s="31"/>
      <c r="E35" s="11"/>
      <c r="F35" s="20"/>
      <c r="G35" s="288"/>
      <c r="H35" s="47"/>
      <c r="I35" s="99"/>
    </row>
    <row r="36" spans="1:9">
      <c r="A36" s="31"/>
      <c r="B36" s="31"/>
      <c r="C36" s="31"/>
      <c r="D36" s="31"/>
      <c r="E36" s="11"/>
      <c r="F36" s="20"/>
      <c r="G36" s="288"/>
      <c r="H36" s="47"/>
      <c r="I36" s="99"/>
    </row>
    <row r="37" spans="1:9">
      <c r="A37" s="31"/>
      <c r="B37" s="31"/>
      <c r="C37" s="31"/>
      <c r="D37" s="31"/>
      <c r="E37" s="11"/>
      <c r="F37" s="20"/>
      <c r="G37" s="288"/>
      <c r="H37" s="47"/>
      <c r="I37" s="99"/>
    </row>
    <row r="38" spans="1:9">
      <c r="A38" s="31"/>
      <c r="B38" s="31"/>
      <c r="C38" s="31"/>
      <c r="D38" s="31"/>
      <c r="E38" s="11"/>
      <c r="F38" s="20"/>
      <c r="G38" s="288"/>
      <c r="H38" s="47"/>
      <c r="I38" s="99"/>
    </row>
    <row r="39" spans="1:9">
      <c r="A39" s="31"/>
      <c r="B39" s="31"/>
      <c r="C39" s="31"/>
      <c r="D39" s="31"/>
      <c r="E39" s="11"/>
      <c r="F39" s="20"/>
      <c r="G39" s="288"/>
      <c r="H39" s="47"/>
      <c r="I39" s="99"/>
    </row>
    <row r="40" spans="1:9">
      <c r="A40" s="31"/>
      <c r="B40" s="31"/>
      <c r="C40" s="31"/>
      <c r="D40" s="31"/>
      <c r="E40" s="11"/>
      <c r="F40" s="20"/>
      <c r="G40" s="288"/>
      <c r="H40" s="47"/>
      <c r="I40" s="99"/>
    </row>
    <row r="41" spans="1:9">
      <c r="A41" s="31"/>
      <c r="B41" s="31"/>
      <c r="C41" s="31"/>
      <c r="D41" s="31"/>
      <c r="E41" s="11"/>
      <c r="F41" s="20"/>
      <c r="G41" s="288"/>
      <c r="H41" s="47"/>
      <c r="I41" s="99"/>
    </row>
    <row r="42" spans="1:9">
      <c r="A42" s="31"/>
      <c r="B42" s="31"/>
      <c r="C42" s="31"/>
      <c r="D42" s="31"/>
      <c r="E42" s="11"/>
      <c r="F42" s="20"/>
      <c r="G42" s="288"/>
      <c r="H42" s="47"/>
      <c r="I42" s="99"/>
    </row>
    <row r="43" spans="1:9">
      <c r="A43" s="31"/>
      <c r="B43" s="31"/>
      <c r="C43" s="31"/>
      <c r="D43" s="31"/>
      <c r="E43" s="11"/>
      <c r="F43" s="20"/>
      <c r="G43" s="288"/>
      <c r="H43" s="47"/>
      <c r="I43" s="99"/>
    </row>
    <row r="52" spans="1:8" ht="21">
      <c r="A52" s="12"/>
      <c r="B52" s="13" t="s">
        <v>711</v>
      </c>
      <c r="C52" s="14"/>
      <c r="D52" s="14"/>
      <c r="E52" s="12"/>
      <c r="F52" s="12"/>
      <c r="G52" s="12"/>
    </row>
    <row r="54" spans="1:8" ht="15.6">
      <c r="A54" s="369" t="s">
        <v>3</v>
      </c>
      <c r="B54" s="366" t="s">
        <v>712</v>
      </c>
      <c r="C54" s="364" t="s">
        <v>713</v>
      </c>
      <c r="D54" s="361" t="s">
        <v>714</v>
      </c>
      <c r="E54" s="362"/>
      <c r="F54" s="362"/>
      <c r="G54" s="363"/>
      <c r="H54" s="364" t="s">
        <v>715</v>
      </c>
    </row>
    <row r="55" spans="1:8" ht="46.8">
      <c r="A55" s="370"/>
      <c r="B55" s="367"/>
      <c r="C55" s="368"/>
      <c r="D55" s="15" t="s">
        <v>716</v>
      </c>
      <c r="E55" s="15" t="s">
        <v>717</v>
      </c>
      <c r="F55" s="16" t="s">
        <v>718</v>
      </c>
      <c r="G55" s="16" t="s">
        <v>719</v>
      </c>
      <c r="H55" s="365"/>
    </row>
    <row r="56" spans="1:8">
      <c r="A56" s="6" t="s">
        <v>688</v>
      </c>
      <c r="B56" s="33" t="s">
        <v>17</v>
      </c>
      <c r="C56" s="105"/>
      <c r="D56" s="105"/>
      <c r="E56" s="105"/>
      <c r="F56" s="105"/>
      <c r="G56" s="105"/>
      <c r="H56" s="106"/>
    </row>
    <row r="57" spans="1:8">
      <c r="A57" s="6" t="s">
        <v>688</v>
      </c>
      <c r="B57" s="34" t="s">
        <v>720</v>
      </c>
      <c r="C57" s="107"/>
      <c r="D57" s="107"/>
      <c r="E57" s="107"/>
      <c r="F57" s="107"/>
      <c r="G57" s="107"/>
      <c r="H57" s="106"/>
    </row>
    <row r="58" spans="1:8">
      <c r="A58" s="6" t="s">
        <v>688</v>
      </c>
      <c r="B58" s="35" t="s">
        <v>721</v>
      </c>
      <c r="C58" s="109"/>
      <c r="D58" s="109"/>
      <c r="E58" s="109"/>
      <c r="F58" s="109"/>
      <c r="G58" s="109"/>
      <c r="H58" s="106"/>
    </row>
    <row r="59" spans="1:8">
      <c r="A59" s="6" t="s">
        <v>688</v>
      </c>
      <c r="B59" s="21"/>
      <c r="C59" s="110"/>
      <c r="D59" s="110"/>
      <c r="E59" s="110"/>
      <c r="F59" s="110"/>
      <c r="G59" s="110"/>
      <c r="H59" s="106"/>
    </row>
    <row r="60" spans="1:8">
      <c r="A60" s="37" t="s">
        <v>722</v>
      </c>
      <c r="B60" s="38"/>
      <c r="C60" s="107">
        <f t="shared" ref="C60:H60" si="0">SUM(C56:C59)</f>
        <v>0</v>
      </c>
      <c r="D60" s="108">
        <f t="shared" si="0"/>
        <v>0</v>
      </c>
      <c r="E60" s="108">
        <f t="shared" si="0"/>
        <v>0</v>
      </c>
      <c r="F60" s="108">
        <f t="shared" si="0"/>
        <v>0</v>
      </c>
      <c r="G60" s="108">
        <f t="shared" si="0"/>
        <v>0</v>
      </c>
      <c r="H60" s="108">
        <f t="shared" si="0"/>
        <v>0</v>
      </c>
    </row>
  </sheetData>
  <protectedRanges>
    <protectedRange sqref="H13" name="Rango1"/>
  </protectedRanges>
  <mergeCells count="7">
    <mergeCell ref="A9:J9"/>
    <mergeCell ref="A10:J10"/>
    <mergeCell ref="A54:A55"/>
    <mergeCell ref="B54:B55"/>
    <mergeCell ref="C54:C55"/>
    <mergeCell ref="D54:G54"/>
    <mergeCell ref="H54:H55"/>
  </mergeCells>
  <dataValidations count="3">
    <dataValidation type="list" allowBlank="1" showInputMessage="1" showErrorMessage="1" sqref="G19:G43" xr:uid="{B5701394-3A47-48EB-BE03-29F70909978F}">
      <formula1>"Ejecutado, No ejecutado, En Proceso"</formula1>
    </dataValidation>
    <dataValidation type="date" allowBlank="1" showInputMessage="1" showErrorMessage="1" sqref="F19:F43" xr:uid="{7270CC96-2325-47DC-A54B-9AD26D5DDDF9}">
      <formula1>45931</formula1>
      <formula2>46022</formula2>
    </dataValidation>
    <dataValidation type="list" allowBlank="1" showInputMessage="1" showErrorMessage="1" sqref="D19:D43" xr:uid="{9414C6EC-44C4-4378-9687-6ED4306FF27D}">
      <formula1>"Fior Daliza Santos "</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742B7-0FD0-433F-8263-8CEABD477BAC}">
  <sheetPr>
    <tabColor rgb="FF00B050"/>
  </sheetPr>
  <dimension ref="A6:J36"/>
  <sheetViews>
    <sheetView topLeftCell="C3" workbookViewId="0">
      <selection activeCell="H13" sqref="H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7.55468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727</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84" t="s">
        <v>9</v>
      </c>
      <c r="H13" s="283" t="s">
        <v>710</v>
      </c>
      <c r="I13" s="282" t="s">
        <v>10</v>
      </c>
    </row>
    <row r="14" spans="1:10" ht="28.8">
      <c r="A14" s="28" t="s">
        <v>547</v>
      </c>
      <c r="B14" s="32" t="s">
        <v>548</v>
      </c>
      <c r="C14" s="32" t="s">
        <v>549</v>
      </c>
      <c r="D14" s="32" t="s">
        <v>550</v>
      </c>
      <c r="E14" s="7">
        <v>18</v>
      </c>
      <c r="F14" s="8"/>
      <c r="G14" s="285"/>
      <c r="H14" s="47"/>
      <c r="I14" s="96"/>
    </row>
    <row r="15" spans="1:10" ht="28.8">
      <c r="A15" s="28" t="s">
        <v>547</v>
      </c>
      <c r="B15" s="29" t="s">
        <v>551</v>
      </c>
      <c r="C15" s="29" t="s">
        <v>552</v>
      </c>
      <c r="D15" s="29" t="s">
        <v>550</v>
      </c>
      <c r="E15" s="9">
        <v>600</v>
      </c>
      <c r="F15" s="18"/>
      <c r="G15" s="286"/>
      <c r="H15" s="47"/>
      <c r="I15" s="97"/>
    </row>
    <row r="16" spans="1:10" ht="57.6">
      <c r="A16" s="28" t="s">
        <v>547</v>
      </c>
      <c r="B16" s="29" t="s">
        <v>553</v>
      </c>
      <c r="C16" s="29" t="s">
        <v>554</v>
      </c>
      <c r="D16" s="29" t="s">
        <v>550</v>
      </c>
      <c r="E16" s="9">
        <v>1500</v>
      </c>
      <c r="F16" s="18"/>
      <c r="G16" s="286"/>
      <c r="H16" s="47"/>
      <c r="I16" s="97"/>
    </row>
    <row r="17" spans="1:9" ht="57.6">
      <c r="A17" s="28" t="s">
        <v>547</v>
      </c>
      <c r="B17" s="29" t="s">
        <v>555</v>
      </c>
      <c r="C17" s="29" t="s">
        <v>556</v>
      </c>
      <c r="D17" s="29" t="s">
        <v>550</v>
      </c>
      <c r="E17" s="9">
        <v>275</v>
      </c>
      <c r="F17" s="18"/>
      <c r="G17" s="286"/>
      <c r="H17" s="47"/>
      <c r="I17" s="97"/>
    </row>
    <row r="18" spans="1:9" ht="57.6">
      <c r="A18" s="28" t="s">
        <v>547</v>
      </c>
      <c r="B18" s="29" t="s">
        <v>557</v>
      </c>
      <c r="C18" s="29" t="s">
        <v>558</v>
      </c>
      <c r="D18" s="29" t="s">
        <v>550</v>
      </c>
      <c r="E18" s="9">
        <v>625</v>
      </c>
      <c r="F18" s="18"/>
      <c r="G18" s="286"/>
      <c r="H18" s="47"/>
      <c r="I18" s="97"/>
    </row>
    <row r="19" spans="1:9" ht="43.2">
      <c r="A19" s="28" t="s">
        <v>547</v>
      </c>
      <c r="B19" s="29" t="s">
        <v>559</v>
      </c>
      <c r="C19" s="29" t="s">
        <v>560</v>
      </c>
      <c r="D19" s="29" t="s">
        <v>550</v>
      </c>
      <c r="E19" s="9">
        <v>6</v>
      </c>
      <c r="F19" s="18"/>
      <c r="G19" s="286"/>
      <c r="H19" s="47"/>
      <c r="I19" s="97"/>
    </row>
    <row r="20" spans="1:9">
      <c r="A20" s="28" t="s">
        <v>547</v>
      </c>
      <c r="B20" s="29"/>
      <c r="C20" s="29"/>
      <c r="D20" s="29"/>
      <c r="E20" s="9"/>
      <c r="F20" s="18"/>
      <c r="G20" s="286"/>
      <c r="H20" s="47"/>
      <c r="I20" s="97"/>
    </row>
    <row r="28" spans="1:9" ht="21">
      <c r="A28" s="12"/>
      <c r="B28" s="13" t="s">
        <v>711</v>
      </c>
      <c r="C28" s="14"/>
      <c r="D28" s="14"/>
      <c r="E28" s="12"/>
      <c r="F28" s="12"/>
      <c r="G28" s="12"/>
    </row>
    <row r="30" spans="1:9" ht="15.6">
      <c r="A30" s="369" t="s">
        <v>3</v>
      </c>
      <c r="B30" s="366" t="s">
        <v>712</v>
      </c>
      <c r="C30" s="364" t="s">
        <v>713</v>
      </c>
      <c r="D30" s="361" t="s">
        <v>714</v>
      </c>
      <c r="E30" s="362"/>
      <c r="F30" s="362"/>
      <c r="G30" s="363"/>
      <c r="H30" s="364" t="s">
        <v>715</v>
      </c>
    </row>
    <row r="31" spans="1:9" ht="46.8">
      <c r="A31" s="370"/>
      <c r="B31" s="367"/>
      <c r="C31" s="368"/>
      <c r="D31" s="15" t="s">
        <v>716</v>
      </c>
      <c r="E31" s="15" t="s">
        <v>717</v>
      </c>
      <c r="F31" s="16" t="s">
        <v>718</v>
      </c>
      <c r="G31" s="16" t="s">
        <v>719</v>
      </c>
      <c r="H31" s="365"/>
    </row>
    <row r="32" spans="1:9">
      <c r="A32" s="6" t="s">
        <v>547</v>
      </c>
      <c r="B32" s="33" t="s">
        <v>17</v>
      </c>
      <c r="C32" s="105"/>
      <c r="D32" s="105"/>
      <c r="E32" s="105"/>
      <c r="F32" s="105"/>
      <c r="G32" s="105"/>
      <c r="H32" s="106"/>
    </row>
    <row r="33" spans="1:8">
      <c r="A33" s="6" t="s">
        <v>547</v>
      </c>
      <c r="B33" s="34" t="s">
        <v>720</v>
      </c>
      <c r="C33" s="107"/>
      <c r="D33" s="107"/>
      <c r="E33" s="107"/>
      <c r="F33" s="107"/>
      <c r="G33" s="107"/>
      <c r="H33" s="106"/>
    </row>
    <row r="34" spans="1:8">
      <c r="A34" s="6" t="s">
        <v>547</v>
      </c>
      <c r="B34" s="35" t="s">
        <v>721</v>
      </c>
      <c r="C34" s="109"/>
      <c r="D34" s="109"/>
      <c r="E34" s="109"/>
      <c r="F34" s="109"/>
      <c r="G34" s="109"/>
      <c r="H34" s="106"/>
    </row>
    <row r="35" spans="1:8">
      <c r="A35" s="6" t="s">
        <v>547</v>
      </c>
      <c r="B35" s="21"/>
      <c r="C35" s="110"/>
      <c r="D35" s="110"/>
      <c r="E35" s="110"/>
      <c r="F35" s="110"/>
      <c r="G35" s="110"/>
      <c r="H35" s="106"/>
    </row>
    <row r="36" spans="1:8">
      <c r="A36" s="37" t="s">
        <v>722</v>
      </c>
      <c r="B36" s="38"/>
      <c r="C36" s="107">
        <f t="shared" ref="C36:H36" si="0">SUM(C32:C35)</f>
        <v>0</v>
      </c>
      <c r="D36" s="108">
        <f t="shared" si="0"/>
        <v>0</v>
      </c>
      <c r="E36" s="108">
        <f t="shared" si="0"/>
        <v>0</v>
      </c>
      <c r="F36" s="108">
        <f t="shared" si="0"/>
        <v>0</v>
      </c>
      <c r="G36" s="108">
        <f t="shared" si="0"/>
        <v>0</v>
      </c>
      <c r="H36" s="108">
        <f t="shared" si="0"/>
        <v>0</v>
      </c>
    </row>
  </sheetData>
  <protectedRanges>
    <protectedRange sqref="H13" name="Rango1"/>
  </protectedRanges>
  <mergeCells count="7">
    <mergeCell ref="A9:J9"/>
    <mergeCell ref="A10:J10"/>
    <mergeCell ref="A30:A31"/>
    <mergeCell ref="B30:B31"/>
    <mergeCell ref="C30:C31"/>
    <mergeCell ref="D30:G30"/>
    <mergeCell ref="H30:H31"/>
  </mergeCells>
  <dataValidations count="3">
    <dataValidation type="list" allowBlank="1" showInputMessage="1" showErrorMessage="1" sqref="G14:G20" xr:uid="{CB66DC21-6D04-4414-9424-E2B591EC71D7}">
      <formula1>"Ejecutado, No ejecutado, En Proceso"</formula1>
    </dataValidation>
    <dataValidation type="date" allowBlank="1" showInputMessage="1" showErrorMessage="1" sqref="F14:F20" xr:uid="{A2C31960-0ADB-4A07-9C80-3150CE069DE3}">
      <formula1>45931</formula1>
      <formula2>46022</formula2>
    </dataValidation>
    <dataValidation type="list" allowBlank="1" showInputMessage="1" showErrorMessage="1" sqref="D14:D20" xr:uid="{A0C1163A-83E0-4E78-964F-E0B81EE8F09B}">
      <formula1>"Melania Heredia "</formula1>
    </dataValidation>
  </dataValidation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4EC87-76F7-4524-B63D-ADA295CD11E8}">
  <sheetPr>
    <tabColor rgb="FF00B050"/>
  </sheetPr>
  <dimension ref="A6:J35"/>
  <sheetViews>
    <sheetView topLeftCell="C2" workbookViewId="0">
      <selection activeCell="H13" sqref="H13"/>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3.10937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84" t="s">
        <v>9</v>
      </c>
      <c r="H13" s="283" t="s">
        <v>710</v>
      </c>
      <c r="I13" s="282" t="s">
        <v>10</v>
      </c>
    </row>
    <row r="14" spans="1:10" ht="115.2">
      <c r="A14" s="76" t="s">
        <v>561</v>
      </c>
      <c r="B14" s="116" t="s">
        <v>562</v>
      </c>
      <c r="C14" s="9" t="s">
        <v>563</v>
      </c>
      <c r="D14" s="117" t="s">
        <v>564</v>
      </c>
      <c r="E14" s="7" t="s">
        <v>565</v>
      </c>
      <c r="F14" s="8">
        <v>45931</v>
      </c>
      <c r="G14" s="285"/>
      <c r="H14" s="47"/>
      <c r="I14" s="96"/>
    </row>
    <row r="15" spans="1:10" ht="138.75" customHeight="1">
      <c r="A15" s="76" t="s">
        <v>561</v>
      </c>
      <c r="B15" s="116" t="s">
        <v>566</v>
      </c>
      <c r="C15" s="9" t="s">
        <v>567</v>
      </c>
      <c r="D15" s="71" t="s">
        <v>564</v>
      </c>
      <c r="E15" s="7" t="s">
        <v>568</v>
      </c>
      <c r="F15" s="18">
        <v>45931</v>
      </c>
      <c r="G15" s="286"/>
      <c r="H15" s="47"/>
      <c r="I15" s="97"/>
    </row>
    <row r="16" spans="1:10">
      <c r="A16" s="118"/>
      <c r="B16" s="81"/>
      <c r="C16" s="81"/>
      <c r="D16" s="29"/>
      <c r="E16" s="9"/>
      <c r="F16" s="18"/>
      <c r="G16" s="286"/>
      <c r="H16" s="47"/>
      <c r="I16" s="97"/>
    </row>
    <row r="17" spans="1:9">
      <c r="A17" s="28"/>
      <c r="B17" s="29"/>
      <c r="C17" s="29"/>
      <c r="D17" s="29"/>
      <c r="E17" s="9"/>
      <c r="F17" s="18"/>
      <c r="G17" s="286"/>
      <c r="H17" s="47"/>
      <c r="I17" s="97"/>
    </row>
    <row r="18" spans="1:9">
      <c r="A18" s="28"/>
      <c r="B18" s="29"/>
      <c r="C18" s="29"/>
      <c r="D18" s="29"/>
      <c r="E18" s="9"/>
      <c r="F18" s="18"/>
      <c r="G18" s="286"/>
      <c r="H18" s="47"/>
      <c r="I18" s="97"/>
    </row>
    <row r="27" spans="1:9" ht="21">
      <c r="A27" s="12"/>
      <c r="B27" s="13" t="s">
        <v>711</v>
      </c>
      <c r="C27" s="14"/>
      <c r="D27" s="14"/>
      <c r="E27" s="12"/>
      <c r="F27" s="12"/>
      <c r="G27" s="12"/>
    </row>
    <row r="29" spans="1:9" ht="15.6">
      <c r="A29" s="369" t="s">
        <v>3</v>
      </c>
      <c r="B29" s="366" t="s">
        <v>712</v>
      </c>
      <c r="C29" s="364" t="s">
        <v>713</v>
      </c>
      <c r="D29" s="361" t="s">
        <v>714</v>
      </c>
      <c r="E29" s="362"/>
      <c r="F29" s="362"/>
      <c r="G29" s="363"/>
      <c r="H29" s="364" t="s">
        <v>715</v>
      </c>
    </row>
    <row r="30" spans="1:9" ht="46.8">
      <c r="A30" s="370"/>
      <c r="B30" s="367"/>
      <c r="C30" s="368"/>
      <c r="D30" s="15" t="s">
        <v>716</v>
      </c>
      <c r="E30" s="15" t="s">
        <v>717</v>
      </c>
      <c r="F30" s="16" t="s">
        <v>718</v>
      </c>
      <c r="G30" s="16" t="s">
        <v>719</v>
      </c>
      <c r="H30" s="365"/>
    </row>
    <row r="31" spans="1:9">
      <c r="A31" s="6" t="s">
        <v>561</v>
      </c>
      <c r="B31" s="33" t="s">
        <v>17</v>
      </c>
      <c r="C31" s="105"/>
      <c r="D31" s="105"/>
      <c r="E31" s="105"/>
      <c r="F31" s="105"/>
      <c r="G31" s="105"/>
      <c r="H31" s="106"/>
    </row>
    <row r="32" spans="1:9">
      <c r="A32" s="6" t="s">
        <v>561</v>
      </c>
      <c r="B32" s="34" t="s">
        <v>720</v>
      </c>
      <c r="C32" s="107"/>
      <c r="D32" s="107"/>
      <c r="E32" s="107"/>
      <c r="F32" s="107"/>
      <c r="G32" s="107"/>
      <c r="H32" s="106"/>
    </row>
    <row r="33" spans="1:8">
      <c r="A33" s="6" t="s">
        <v>561</v>
      </c>
      <c r="B33" s="35" t="s">
        <v>721</v>
      </c>
      <c r="C33" s="109"/>
      <c r="D33" s="109"/>
      <c r="E33" s="109"/>
      <c r="F33" s="109"/>
      <c r="G33" s="109"/>
      <c r="H33" s="106"/>
    </row>
    <row r="34" spans="1:8">
      <c r="A34" s="6" t="s">
        <v>561</v>
      </c>
      <c r="B34" s="21"/>
      <c r="C34" s="110"/>
      <c r="D34" s="110"/>
      <c r="E34" s="110"/>
      <c r="F34" s="110"/>
      <c r="G34" s="110"/>
      <c r="H34" s="106"/>
    </row>
    <row r="35" spans="1:8">
      <c r="A35" s="37" t="s">
        <v>722</v>
      </c>
      <c r="B35" s="38"/>
      <c r="C35" s="107">
        <f t="shared" ref="C35:H35" si="0">SUM(C31:C34)</f>
        <v>0</v>
      </c>
      <c r="D35" s="108">
        <f t="shared" si="0"/>
        <v>0</v>
      </c>
      <c r="E35" s="108">
        <f t="shared" si="0"/>
        <v>0</v>
      </c>
      <c r="F35" s="108">
        <f t="shared" si="0"/>
        <v>0</v>
      </c>
      <c r="G35" s="108">
        <f t="shared" si="0"/>
        <v>0</v>
      </c>
      <c r="H35" s="108">
        <f t="shared" si="0"/>
        <v>0</v>
      </c>
    </row>
  </sheetData>
  <protectedRanges>
    <protectedRange sqref="H13" name="Rango1"/>
  </protectedRanges>
  <mergeCells count="7">
    <mergeCell ref="A9:J9"/>
    <mergeCell ref="A10:J10"/>
    <mergeCell ref="A29:A30"/>
    <mergeCell ref="B29:B30"/>
    <mergeCell ref="C29:C30"/>
    <mergeCell ref="D29:G29"/>
    <mergeCell ref="H29:H30"/>
  </mergeCells>
  <dataValidations count="3">
    <dataValidation type="list" allowBlank="1" showInputMessage="1" showErrorMessage="1" sqref="G14:G18" xr:uid="{9C739CA4-49CD-4DD1-A687-79842B357C6B}">
      <formula1>"Ejecutado, No ejecutado, En Proceso"</formula1>
    </dataValidation>
    <dataValidation type="date" allowBlank="1" showInputMessage="1" showErrorMessage="1" sqref="F14:F18" xr:uid="{4FA66426-A4C0-493A-924C-F6ABF48D672B}">
      <formula1>45931</formula1>
      <formula2>46022</formula2>
    </dataValidation>
    <dataValidation type="list" allowBlank="1" showInputMessage="1" showErrorMessage="1" sqref="D14:D18" xr:uid="{81D7F588-A61F-497C-94F7-393206191EA1}">
      <formula1>"Juan Almonte, Julio Cesar Mariñez "</formula1>
    </dataValidation>
  </dataValidation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4E34E-C96C-4A02-9DA0-81E87653A970}">
  <sheetPr>
    <tabColor rgb="FF00B050"/>
  </sheetPr>
  <dimension ref="A6:J48"/>
  <sheetViews>
    <sheetView topLeftCell="A26" workbookViewId="0">
      <selection activeCell="A28" sqref="A28:XFD28"/>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8.6640625" customWidth="1"/>
    <col min="10" max="10" width="34.44140625" customWidth="1"/>
  </cols>
  <sheetData>
    <row r="6" spans="1:10">
      <c r="B6" s="1"/>
      <c r="D6" s="1"/>
      <c r="F6" s="1"/>
    </row>
    <row r="7" spans="1:10">
      <c r="B7" s="1"/>
      <c r="D7" s="1"/>
      <c r="F7" s="1"/>
    </row>
    <row r="8" spans="1:10">
      <c r="B8" s="1"/>
      <c r="D8" s="1"/>
      <c r="F8" s="1"/>
    </row>
    <row r="9" spans="1:10">
      <c r="A9" s="356" t="s">
        <v>0</v>
      </c>
      <c r="B9" s="356"/>
      <c r="C9" s="356"/>
      <c r="D9" s="356"/>
      <c r="E9" s="356"/>
      <c r="F9" s="356"/>
      <c r="G9" s="356"/>
      <c r="H9" s="356"/>
      <c r="I9" s="356"/>
      <c r="J9" s="356"/>
    </row>
    <row r="10" spans="1:10">
      <c r="A10" s="356" t="s">
        <v>723</v>
      </c>
      <c r="B10" s="356"/>
      <c r="C10" s="356"/>
      <c r="D10" s="356"/>
      <c r="E10" s="356"/>
      <c r="F10" s="356"/>
      <c r="G10" s="356"/>
      <c r="H10" s="356"/>
      <c r="I10" s="356"/>
      <c r="J10" s="356"/>
    </row>
    <row r="11" spans="1:10">
      <c r="A11" s="2" t="s">
        <v>709</v>
      </c>
      <c r="B11" s="3"/>
      <c r="C11" s="2"/>
      <c r="D11" s="1"/>
      <c r="F11" s="1"/>
    </row>
    <row r="12" spans="1:10">
      <c r="B12" s="1"/>
      <c r="D12" s="1"/>
      <c r="F12" s="1"/>
    </row>
    <row r="13" spans="1:10" ht="43.2">
      <c r="A13" s="26" t="s">
        <v>3</v>
      </c>
      <c r="B13" s="27" t="s">
        <v>4</v>
      </c>
      <c r="C13" s="26" t="s">
        <v>5</v>
      </c>
      <c r="D13" s="27" t="s">
        <v>6</v>
      </c>
      <c r="E13" s="4" t="s">
        <v>7</v>
      </c>
      <c r="F13" s="17" t="s">
        <v>8</v>
      </c>
      <c r="G13" s="284" t="s">
        <v>9</v>
      </c>
      <c r="H13" s="283" t="s">
        <v>710</v>
      </c>
      <c r="I13" s="282" t="s">
        <v>10</v>
      </c>
    </row>
    <row r="14" spans="1:10" ht="62.4">
      <c r="A14" s="9" t="s">
        <v>569</v>
      </c>
      <c r="B14" s="114" t="s">
        <v>570</v>
      </c>
      <c r="C14" s="259" t="s">
        <v>571</v>
      </c>
      <c r="D14" s="9" t="s">
        <v>572</v>
      </c>
      <c r="E14" s="114" t="s">
        <v>573</v>
      </c>
      <c r="F14" s="18">
        <v>45944</v>
      </c>
      <c r="G14" s="343"/>
      <c r="H14" s="47"/>
      <c r="I14" s="335"/>
    </row>
    <row r="15" spans="1:10" ht="62.4">
      <c r="A15" s="260" t="s">
        <v>574</v>
      </c>
      <c r="B15" s="114" t="s">
        <v>575</v>
      </c>
      <c r="C15" s="259" t="s">
        <v>576</v>
      </c>
      <c r="D15" s="9" t="s">
        <v>572</v>
      </c>
      <c r="E15" s="114" t="s">
        <v>573</v>
      </c>
      <c r="F15" s="261">
        <v>45960</v>
      </c>
      <c r="G15" s="343"/>
      <c r="H15" s="47"/>
      <c r="I15" s="335"/>
    </row>
    <row r="16" spans="1:10" ht="62.4">
      <c r="A16" s="260" t="s">
        <v>574</v>
      </c>
      <c r="B16" s="114" t="s">
        <v>577</v>
      </c>
      <c r="C16" s="259" t="s">
        <v>578</v>
      </c>
      <c r="D16" s="9" t="s">
        <v>572</v>
      </c>
      <c r="E16" s="114" t="s">
        <v>579</v>
      </c>
      <c r="F16" s="261">
        <v>45972</v>
      </c>
      <c r="G16" s="343"/>
      <c r="H16" s="47"/>
      <c r="I16" s="335"/>
    </row>
    <row r="17" spans="1:9" ht="46.8">
      <c r="A17" s="260" t="s">
        <v>574</v>
      </c>
      <c r="B17" s="114" t="s">
        <v>580</v>
      </c>
      <c r="C17" s="259" t="s">
        <v>581</v>
      </c>
      <c r="D17" s="9" t="s">
        <v>572</v>
      </c>
      <c r="E17" s="114" t="s">
        <v>582</v>
      </c>
      <c r="F17" s="255">
        <v>45958</v>
      </c>
      <c r="G17" s="314"/>
      <c r="H17" s="47"/>
      <c r="I17" s="97"/>
    </row>
    <row r="18" spans="1:9" ht="156">
      <c r="A18" s="260" t="s">
        <v>574</v>
      </c>
      <c r="B18" s="114" t="s">
        <v>583</v>
      </c>
      <c r="C18" s="262" t="s">
        <v>584</v>
      </c>
      <c r="D18" s="9" t="s">
        <v>572</v>
      </c>
      <c r="E18" s="114" t="s">
        <v>585</v>
      </c>
      <c r="F18" s="18">
        <v>45946</v>
      </c>
      <c r="G18" s="314"/>
      <c r="H18" s="47"/>
      <c r="I18" s="97"/>
    </row>
    <row r="19" spans="1:9" ht="69.599999999999994">
      <c r="A19" s="260" t="s">
        <v>574</v>
      </c>
      <c r="B19" s="263" t="s">
        <v>586</v>
      </c>
      <c r="C19" s="264" t="s">
        <v>587</v>
      </c>
      <c r="D19" s="9" t="s">
        <v>572</v>
      </c>
      <c r="E19" s="9" t="s">
        <v>588</v>
      </c>
      <c r="F19" s="18">
        <v>45962</v>
      </c>
      <c r="G19" s="314"/>
      <c r="H19" s="47"/>
      <c r="I19" s="310"/>
    </row>
    <row r="20" spans="1:9" ht="140.4">
      <c r="A20" s="260" t="s">
        <v>574</v>
      </c>
      <c r="B20" s="265" t="s">
        <v>589</v>
      </c>
      <c r="C20" s="262" t="s">
        <v>590</v>
      </c>
      <c r="D20" s="9" t="s">
        <v>572</v>
      </c>
      <c r="E20" s="9" t="s">
        <v>591</v>
      </c>
      <c r="F20" s="47" t="s">
        <v>592</v>
      </c>
      <c r="G20" s="314"/>
      <c r="H20" s="47"/>
      <c r="I20" s="310"/>
    </row>
    <row r="21" spans="1:9" ht="124.8">
      <c r="A21" s="260" t="s">
        <v>574</v>
      </c>
      <c r="B21" s="119" t="s">
        <v>593</v>
      </c>
      <c r="C21" s="119" t="s">
        <v>594</v>
      </c>
      <c r="D21" s="9" t="s">
        <v>572</v>
      </c>
      <c r="E21" s="9" t="s">
        <v>595</v>
      </c>
      <c r="F21" s="255">
        <v>45940</v>
      </c>
      <c r="G21" s="309"/>
      <c r="H21" s="47"/>
      <c r="I21" s="310"/>
    </row>
    <row r="22" spans="1:9" ht="86.4">
      <c r="A22" s="260" t="s">
        <v>574</v>
      </c>
      <c r="B22" s="114" t="s">
        <v>596</v>
      </c>
      <c r="C22" s="9" t="s">
        <v>597</v>
      </c>
      <c r="D22" s="9" t="s">
        <v>572</v>
      </c>
      <c r="E22" s="9" t="s">
        <v>598</v>
      </c>
      <c r="F22" s="255">
        <v>46008</v>
      </c>
      <c r="G22" s="314"/>
      <c r="H22" s="47"/>
      <c r="I22" s="310"/>
    </row>
    <row r="23" spans="1:9" ht="43.2">
      <c r="A23" s="260" t="s">
        <v>574</v>
      </c>
      <c r="B23" s="9" t="s">
        <v>599</v>
      </c>
      <c r="C23" s="9" t="s">
        <v>600</v>
      </c>
      <c r="D23" s="9" t="s">
        <v>572</v>
      </c>
      <c r="E23" s="9" t="s">
        <v>601</v>
      </c>
      <c r="F23" s="255">
        <v>45981</v>
      </c>
      <c r="G23" s="314"/>
      <c r="H23" s="47"/>
      <c r="I23" s="310"/>
    </row>
    <row r="24" spans="1:9" ht="72">
      <c r="A24" s="260" t="s">
        <v>574</v>
      </c>
      <c r="B24" s="9" t="s">
        <v>602</v>
      </c>
      <c r="C24" s="9" t="s">
        <v>603</v>
      </c>
      <c r="D24" s="9" t="s">
        <v>572</v>
      </c>
      <c r="E24" s="9" t="s">
        <v>604</v>
      </c>
      <c r="F24" s="255">
        <v>45938</v>
      </c>
      <c r="G24" s="314" t="s">
        <v>47</v>
      </c>
      <c r="H24" s="47"/>
      <c r="I24" s="310"/>
    </row>
    <row r="25" spans="1:9" ht="57.6">
      <c r="A25" s="260" t="s">
        <v>574</v>
      </c>
      <c r="B25" s="9" t="s">
        <v>605</v>
      </c>
      <c r="C25" s="9" t="s">
        <v>606</v>
      </c>
      <c r="D25" s="9" t="s">
        <v>572</v>
      </c>
      <c r="E25" s="9" t="s">
        <v>607</v>
      </c>
      <c r="F25" s="255">
        <v>45959</v>
      </c>
      <c r="G25" s="314"/>
      <c r="H25" s="47"/>
      <c r="I25" s="310"/>
    </row>
    <row r="26" spans="1:9" ht="72">
      <c r="A26" s="260" t="s">
        <v>574</v>
      </c>
      <c r="B26" s="9" t="s">
        <v>608</v>
      </c>
      <c r="C26" s="9" t="s">
        <v>609</v>
      </c>
      <c r="D26" s="9" t="s">
        <v>610</v>
      </c>
      <c r="E26" s="9" t="s">
        <v>611</v>
      </c>
      <c r="F26" s="266">
        <v>45979</v>
      </c>
      <c r="G26" s="309"/>
      <c r="H26" s="47"/>
      <c r="I26" s="310"/>
    </row>
    <row r="27" spans="1:9" ht="72">
      <c r="A27" s="260" t="s">
        <v>574</v>
      </c>
      <c r="B27" s="47" t="s">
        <v>612</v>
      </c>
      <c r="C27" s="9" t="s">
        <v>613</v>
      </c>
      <c r="D27" s="9" t="s">
        <v>572</v>
      </c>
      <c r="E27" s="9" t="s">
        <v>614</v>
      </c>
      <c r="F27" s="18">
        <v>45937</v>
      </c>
      <c r="G27" s="309" t="s">
        <v>47</v>
      </c>
      <c r="H27" s="47"/>
      <c r="I27" s="310"/>
    </row>
    <row r="28" spans="1:9">
      <c r="A28" s="260"/>
      <c r="B28" s="47"/>
      <c r="C28" s="9"/>
      <c r="D28" s="9"/>
      <c r="E28" s="9"/>
      <c r="F28" s="18"/>
      <c r="G28" s="309"/>
      <c r="H28" s="47"/>
      <c r="I28" s="310"/>
    </row>
    <row r="29" spans="1:9">
      <c r="A29" s="260"/>
      <c r="B29" s="47"/>
      <c r="C29" s="9"/>
      <c r="D29" s="9"/>
      <c r="E29" s="9"/>
      <c r="F29" s="18"/>
      <c r="G29" s="309"/>
      <c r="H29" s="47"/>
      <c r="I29" s="310"/>
    </row>
    <row r="30" spans="1:9" ht="62.4">
      <c r="A30" s="260" t="s">
        <v>574</v>
      </c>
      <c r="B30" s="47" t="s">
        <v>615</v>
      </c>
      <c r="C30" s="9" t="s">
        <v>616</v>
      </c>
      <c r="D30" s="9" t="s">
        <v>572</v>
      </c>
      <c r="E30" s="114" t="s">
        <v>617</v>
      </c>
      <c r="F30" s="255">
        <v>45996</v>
      </c>
      <c r="G30" s="309" t="s">
        <v>47</v>
      </c>
      <c r="H30" s="47"/>
      <c r="I30" s="310"/>
    </row>
    <row r="31" spans="1:9" ht="15.6">
      <c r="A31" s="260" t="s">
        <v>574</v>
      </c>
      <c r="B31" s="113"/>
      <c r="C31" s="113"/>
      <c r="D31" s="113"/>
      <c r="E31" s="114"/>
      <c r="F31" s="267"/>
      <c r="G31" s="344"/>
      <c r="H31" s="47"/>
      <c r="I31" s="97"/>
    </row>
    <row r="40" spans="1:8" ht="21">
      <c r="A40" s="12"/>
      <c r="B40" s="13" t="s">
        <v>711</v>
      </c>
      <c r="C40" s="14"/>
      <c r="D40" s="14"/>
      <c r="E40" s="12"/>
      <c r="F40" s="12"/>
      <c r="G40" s="12"/>
    </row>
    <row r="42" spans="1:8" ht="15.6">
      <c r="A42" s="369" t="s">
        <v>3</v>
      </c>
      <c r="B42" s="366" t="s">
        <v>712</v>
      </c>
      <c r="C42" s="364" t="s">
        <v>713</v>
      </c>
      <c r="D42" s="361" t="s">
        <v>714</v>
      </c>
      <c r="E42" s="362"/>
      <c r="F42" s="362"/>
      <c r="G42" s="363"/>
      <c r="H42" s="364" t="s">
        <v>715</v>
      </c>
    </row>
    <row r="43" spans="1:8" ht="46.8">
      <c r="A43" s="370"/>
      <c r="B43" s="367"/>
      <c r="C43" s="368"/>
      <c r="D43" s="15" t="s">
        <v>716</v>
      </c>
      <c r="E43" s="15" t="s">
        <v>717</v>
      </c>
      <c r="F43" s="16" t="s">
        <v>718</v>
      </c>
      <c r="G43" s="16" t="s">
        <v>719</v>
      </c>
      <c r="H43" s="365"/>
    </row>
    <row r="44" spans="1:8">
      <c r="A44" s="6" t="s">
        <v>753</v>
      </c>
      <c r="B44" s="33" t="s">
        <v>17</v>
      </c>
      <c r="C44" s="105"/>
      <c r="D44" s="105"/>
      <c r="E44" s="105"/>
      <c r="F44" s="105"/>
      <c r="G44" s="105"/>
      <c r="H44" s="106"/>
    </row>
    <row r="45" spans="1:8">
      <c r="A45" s="6" t="s">
        <v>753</v>
      </c>
      <c r="B45" s="34" t="s">
        <v>720</v>
      </c>
      <c r="C45" s="107"/>
      <c r="D45" s="107"/>
      <c r="E45" s="107"/>
      <c r="F45" s="107"/>
      <c r="G45" s="107"/>
      <c r="H45" s="106"/>
    </row>
    <row r="46" spans="1:8">
      <c r="A46" s="6" t="s">
        <v>753</v>
      </c>
      <c r="B46" s="35" t="s">
        <v>721</v>
      </c>
      <c r="C46" s="109"/>
      <c r="D46" s="109"/>
      <c r="E46" s="109"/>
      <c r="F46" s="109"/>
      <c r="G46" s="109"/>
      <c r="H46" s="106"/>
    </row>
    <row r="47" spans="1:8">
      <c r="A47" s="6" t="s">
        <v>753</v>
      </c>
      <c r="B47" s="21"/>
      <c r="C47" s="110"/>
      <c r="D47" s="110"/>
      <c r="E47" s="110"/>
      <c r="F47" s="110"/>
      <c r="G47" s="110"/>
      <c r="H47" s="106"/>
    </row>
    <row r="48" spans="1:8">
      <c r="A48" s="37" t="s">
        <v>722</v>
      </c>
      <c r="B48" s="38"/>
      <c r="C48" s="107">
        <f t="shared" ref="C48:H48" si="0">SUM(C44:C47)</f>
        <v>0</v>
      </c>
      <c r="D48" s="108">
        <f t="shared" si="0"/>
        <v>0</v>
      </c>
      <c r="E48" s="108">
        <f t="shared" si="0"/>
        <v>0</v>
      </c>
      <c r="F48" s="108">
        <f t="shared" si="0"/>
        <v>0</v>
      </c>
      <c r="G48" s="108">
        <f t="shared" si="0"/>
        <v>0</v>
      </c>
      <c r="H48" s="108">
        <f t="shared" si="0"/>
        <v>0</v>
      </c>
    </row>
  </sheetData>
  <protectedRanges>
    <protectedRange sqref="H13" name="Rango1"/>
  </protectedRanges>
  <mergeCells count="7">
    <mergeCell ref="A9:J9"/>
    <mergeCell ref="A10:J10"/>
    <mergeCell ref="A42:A43"/>
    <mergeCell ref="B42:B43"/>
    <mergeCell ref="C42:C43"/>
    <mergeCell ref="D42:G42"/>
    <mergeCell ref="H42:H43"/>
  </mergeCells>
  <dataValidations count="3">
    <dataValidation type="list" allowBlank="1" showInputMessage="1" showErrorMessage="1" sqref="G14:G31" xr:uid="{DCC2B243-E699-4AA2-98D8-7D0C04908BD6}">
      <formula1>"Ejecutado, No ejecutado, En Proceso"</formula1>
    </dataValidation>
    <dataValidation type="date" allowBlank="1" showInputMessage="1" showErrorMessage="1" sqref="F14:F31" xr:uid="{1A580838-8C62-4E9E-9EA4-B9AD717BBBEA}">
      <formula1>45931</formula1>
      <formula2>46022</formula2>
    </dataValidation>
    <dataValidation type="list" allowBlank="1" showInputMessage="1" showErrorMessage="1" sqref="D14:D31" xr:uid="{785C36EA-8615-46CA-B9DF-32903EAF142D}">
      <formula1>"Gabriela Nina, Soranyuly Morel"</formula1>
    </dataValidation>
  </dataValidation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6100-BE61-4D4C-B4F4-991F7857E0E1}">
  <sheetPr>
    <tabColor rgb="FF00B050"/>
  </sheetPr>
  <dimension ref="A1:J212"/>
  <sheetViews>
    <sheetView topLeftCell="C1" workbookViewId="0">
      <selection activeCell="H14" sqref="H14"/>
    </sheetView>
  </sheetViews>
  <sheetFormatPr baseColWidth="10" defaultColWidth="11.44140625" defaultRowHeight="14.4"/>
  <cols>
    <col min="1" max="1" width="29.44140625" customWidth="1"/>
    <col min="2" max="2" width="40.44140625" style="47"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7.5546875" customWidth="1"/>
    <col min="10" max="10" width="34.44140625" customWidth="1"/>
  </cols>
  <sheetData>
    <row r="1" spans="1:10">
      <c r="B1"/>
    </row>
    <row r="2" spans="1:10">
      <c r="B2"/>
    </row>
    <row r="3" spans="1:10">
      <c r="B3"/>
    </row>
    <row r="4" spans="1:10">
      <c r="B4"/>
    </row>
    <row r="5" spans="1:10">
      <c r="B5"/>
    </row>
    <row r="6" spans="1:10">
      <c r="B6" s="1"/>
      <c r="D6" s="1"/>
      <c r="F6" s="1"/>
    </row>
    <row r="7" spans="1:10">
      <c r="B7" s="1"/>
      <c r="D7" s="1"/>
      <c r="F7" s="1"/>
    </row>
    <row r="8" spans="1:10">
      <c r="B8" s="1"/>
      <c r="D8" s="1"/>
      <c r="F8" s="1"/>
    </row>
    <row r="9" spans="1:10">
      <c r="B9"/>
    </row>
    <row r="10" spans="1:10">
      <c r="A10" s="356" t="s">
        <v>0</v>
      </c>
      <c r="B10" s="356"/>
      <c r="C10" s="356"/>
      <c r="D10" s="356"/>
      <c r="E10" s="356"/>
      <c r="F10" s="356"/>
      <c r="G10" s="356"/>
      <c r="H10" s="356"/>
      <c r="I10" s="356"/>
      <c r="J10" s="356"/>
    </row>
    <row r="11" spans="1:10">
      <c r="A11" s="356" t="s">
        <v>723</v>
      </c>
      <c r="B11" s="356"/>
      <c r="C11" s="356"/>
      <c r="D11" s="356"/>
      <c r="E11" s="356"/>
      <c r="F11" s="356"/>
      <c r="G11" s="356"/>
      <c r="H11" s="356"/>
      <c r="I11" s="356"/>
      <c r="J11" s="356"/>
    </row>
    <row r="12" spans="1:10">
      <c r="A12" s="2" t="s">
        <v>709</v>
      </c>
      <c r="B12" s="3"/>
      <c r="C12" s="2"/>
      <c r="D12" s="1"/>
      <c r="F12" s="1"/>
    </row>
    <row r="13" spans="1:10">
      <c r="B13" s="104"/>
      <c r="D13" s="1"/>
      <c r="F13" s="1"/>
    </row>
    <row r="14" spans="1:10" ht="43.2">
      <c r="A14" s="66" t="s">
        <v>3</v>
      </c>
      <c r="B14" s="72" t="s">
        <v>4</v>
      </c>
      <c r="C14" s="70" t="s">
        <v>5</v>
      </c>
      <c r="D14" s="27" t="s">
        <v>6</v>
      </c>
      <c r="E14" s="4" t="s">
        <v>7</v>
      </c>
      <c r="F14" s="17" t="s">
        <v>8</v>
      </c>
      <c r="G14" s="284" t="s">
        <v>9</v>
      </c>
      <c r="H14" s="283" t="s">
        <v>710</v>
      </c>
      <c r="I14" s="282" t="s">
        <v>10</v>
      </c>
    </row>
    <row r="15" spans="1:10" ht="93.6">
      <c r="A15" s="67" t="s">
        <v>618</v>
      </c>
      <c r="B15" s="73" t="s">
        <v>619</v>
      </c>
      <c r="C15" s="78" t="s">
        <v>620</v>
      </c>
      <c r="D15" s="32" t="s">
        <v>621</v>
      </c>
      <c r="E15" s="7"/>
      <c r="F15" s="8"/>
      <c r="G15" s="285"/>
      <c r="H15" s="47"/>
      <c r="I15" s="96"/>
    </row>
    <row r="16" spans="1:10" ht="78">
      <c r="A16" s="76" t="s">
        <v>618</v>
      </c>
      <c r="B16" s="77" t="s">
        <v>622</v>
      </c>
      <c r="C16" s="83" t="s">
        <v>623</v>
      </c>
      <c r="D16" s="29"/>
      <c r="E16" s="9"/>
      <c r="F16" s="18"/>
      <c r="G16" s="286"/>
      <c r="H16" s="47"/>
      <c r="I16" s="97"/>
    </row>
    <row r="17" spans="1:9" ht="78">
      <c r="A17" s="28" t="s">
        <v>618</v>
      </c>
      <c r="B17" s="79" t="s">
        <v>624</v>
      </c>
      <c r="C17" s="82" t="s">
        <v>625</v>
      </c>
      <c r="D17" s="29"/>
      <c r="E17" s="9"/>
      <c r="F17" s="18"/>
      <c r="G17" s="286"/>
      <c r="H17" s="47"/>
      <c r="I17" s="97"/>
    </row>
    <row r="18" spans="1:9" ht="100.5" customHeight="1">
      <c r="A18" s="67" t="s">
        <v>618</v>
      </c>
      <c r="B18" s="85" t="s">
        <v>627</v>
      </c>
      <c r="C18" s="75" t="s">
        <v>628</v>
      </c>
      <c r="D18" s="29"/>
      <c r="E18" s="9"/>
      <c r="F18" s="18"/>
      <c r="G18" s="286"/>
      <c r="H18" s="47"/>
      <c r="I18" s="97"/>
    </row>
    <row r="19" spans="1:9" ht="93.6">
      <c r="A19" s="67" t="s">
        <v>618</v>
      </c>
      <c r="B19" s="80" t="s">
        <v>629</v>
      </c>
      <c r="C19" s="84" t="s">
        <v>630</v>
      </c>
      <c r="D19" s="71"/>
      <c r="E19" s="9"/>
      <c r="F19" s="18"/>
      <c r="G19" s="286"/>
      <c r="H19" s="47"/>
      <c r="I19" s="97"/>
    </row>
    <row r="20" spans="1:9" ht="115.5" customHeight="1">
      <c r="A20" s="67" t="s">
        <v>618</v>
      </c>
      <c r="B20" s="84" t="s">
        <v>632</v>
      </c>
      <c r="C20" s="75" t="s">
        <v>633</v>
      </c>
      <c r="D20" s="29"/>
      <c r="E20" s="9"/>
      <c r="F20" s="18"/>
      <c r="G20" s="286"/>
      <c r="H20" s="47"/>
      <c r="I20" s="97"/>
    </row>
    <row r="21" spans="1:9" ht="28.8">
      <c r="A21" s="67" t="s">
        <v>618</v>
      </c>
      <c r="B21" s="81"/>
      <c r="C21" s="71"/>
      <c r="D21" s="29"/>
      <c r="E21" s="9"/>
      <c r="F21" s="18"/>
      <c r="G21" s="286"/>
      <c r="H21" s="47"/>
      <c r="I21" s="97"/>
    </row>
    <row r="22" spans="1:9">
      <c r="B22"/>
    </row>
    <row r="23" spans="1:9">
      <c r="B23"/>
    </row>
    <row r="24" spans="1:9">
      <c r="B24"/>
    </row>
    <row r="25" spans="1:9">
      <c r="B25"/>
    </row>
    <row r="26" spans="1:9">
      <c r="B26"/>
    </row>
    <row r="27" spans="1:9">
      <c r="B27"/>
    </row>
    <row r="28" spans="1:9">
      <c r="B28"/>
    </row>
    <row r="29" spans="1:9">
      <c r="B29"/>
    </row>
    <row r="30" spans="1:9" ht="21">
      <c r="A30" s="12"/>
      <c r="B30" s="103" t="s">
        <v>711</v>
      </c>
      <c r="C30" s="14"/>
      <c r="D30" s="14"/>
      <c r="E30" s="12"/>
      <c r="F30" s="12"/>
      <c r="G30" s="12"/>
    </row>
    <row r="32" spans="1:9" ht="15.6">
      <c r="A32" s="371" t="s">
        <v>3</v>
      </c>
      <c r="B32" s="358" t="s">
        <v>712</v>
      </c>
      <c r="C32" s="359" t="s">
        <v>713</v>
      </c>
      <c r="D32" s="361" t="s">
        <v>714</v>
      </c>
      <c r="E32" s="362"/>
      <c r="F32" s="362"/>
      <c r="G32" s="363"/>
      <c r="H32" s="364" t="s">
        <v>715</v>
      </c>
    </row>
    <row r="33" spans="1:8" ht="46.8">
      <c r="A33" s="372"/>
      <c r="B33" s="358"/>
      <c r="C33" s="360"/>
      <c r="D33" s="15" t="s">
        <v>716</v>
      </c>
      <c r="E33" s="15" t="s">
        <v>717</v>
      </c>
      <c r="F33" s="16" t="s">
        <v>718</v>
      </c>
      <c r="G33" s="16" t="s">
        <v>719</v>
      </c>
      <c r="H33" s="365"/>
    </row>
    <row r="34" spans="1:8" ht="28.8">
      <c r="A34" s="68" t="s">
        <v>618</v>
      </c>
      <c r="B34" s="44" t="s">
        <v>17</v>
      </c>
      <c r="C34" s="105"/>
      <c r="D34" s="105"/>
      <c r="E34" s="105"/>
      <c r="F34" s="105"/>
      <c r="G34" s="105"/>
      <c r="H34" s="106"/>
    </row>
    <row r="35" spans="1:8" ht="28.8">
      <c r="A35" s="68" t="s">
        <v>618</v>
      </c>
      <c r="B35" s="44" t="s">
        <v>720</v>
      </c>
      <c r="C35" s="107"/>
      <c r="D35" s="107"/>
      <c r="E35" s="107"/>
      <c r="F35" s="107"/>
      <c r="G35" s="107"/>
      <c r="H35" s="106"/>
    </row>
    <row r="36" spans="1:8" ht="28.8">
      <c r="A36" s="68" t="s">
        <v>618</v>
      </c>
      <c r="B36" s="44" t="s">
        <v>721</v>
      </c>
      <c r="C36" s="109"/>
      <c r="D36" s="109"/>
      <c r="E36" s="109"/>
      <c r="F36" s="109"/>
      <c r="G36" s="109"/>
      <c r="H36" s="106"/>
    </row>
    <row r="37" spans="1:8" ht="28.8">
      <c r="A37" s="68" t="s">
        <v>618</v>
      </c>
      <c r="B37" s="44"/>
      <c r="C37" s="110"/>
      <c r="D37" s="110"/>
      <c r="E37" s="110"/>
      <c r="F37" s="110"/>
      <c r="G37" s="110"/>
      <c r="H37" s="106"/>
    </row>
    <row r="38" spans="1:8">
      <c r="A38" s="69" t="s">
        <v>722</v>
      </c>
      <c r="B38" s="111"/>
      <c r="C38" s="107">
        <f t="shared" ref="C38:H38" si="0">SUM(C34:C37)</f>
        <v>0</v>
      </c>
      <c r="D38" s="108">
        <f t="shared" si="0"/>
        <v>0</v>
      </c>
      <c r="E38" s="108">
        <f t="shared" si="0"/>
        <v>0</v>
      </c>
      <c r="F38" s="108">
        <f t="shared" si="0"/>
        <v>0</v>
      </c>
      <c r="G38" s="108">
        <f t="shared" si="0"/>
        <v>0</v>
      </c>
      <c r="H38" s="108">
        <f t="shared" si="0"/>
        <v>0</v>
      </c>
    </row>
    <row r="39" spans="1:8">
      <c r="B39"/>
    </row>
    <row r="40" spans="1:8">
      <c r="B40"/>
    </row>
    <row r="41" spans="1:8">
      <c r="B41"/>
    </row>
    <row r="42" spans="1:8">
      <c r="B42"/>
    </row>
    <row r="43" spans="1:8">
      <c r="B43"/>
    </row>
    <row r="44" spans="1:8">
      <c r="B44"/>
    </row>
    <row r="45" spans="1:8">
      <c r="B45"/>
    </row>
    <row r="46" spans="1:8">
      <c r="B46"/>
    </row>
    <row r="47" spans="1:8">
      <c r="B47"/>
    </row>
    <row r="48" spans="1:8">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s="112"/>
    </row>
  </sheetData>
  <protectedRanges>
    <protectedRange sqref="H14" name="Rango1"/>
  </protectedRanges>
  <mergeCells count="7">
    <mergeCell ref="A10:J10"/>
    <mergeCell ref="A11:J11"/>
    <mergeCell ref="A32:A33"/>
    <mergeCell ref="B32:B33"/>
    <mergeCell ref="C32:C33"/>
    <mergeCell ref="D32:G32"/>
    <mergeCell ref="H32:H33"/>
  </mergeCells>
  <dataValidations count="3">
    <dataValidation type="list" allowBlank="1" showInputMessage="1" showErrorMessage="1" sqref="G15:G21" xr:uid="{3595701A-D103-48A7-A70B-8CED781050C8}">
      <formula1>"Ejecutado, No ejecutado, En Proceso"</formula1>
    </dataValidation>
    <dataValidation type="date" allowBlank="1" showInputMessage="1" showErrorMessage="1" sqref="F15:F21" xr:uid="{6D8659AF-09BA-4312-809C-CA160D96E372}">
      <formula1>45931</formula1>
      <formula2>46022</formula2>
    </dataValidation>
    <dataValidation type="list" allowBlank="1" showInputMessage="1" showErrorMessage="1" sqref="D15:D21" xr:uid="{A06504A1-4984-4378-9BC1-5288A1850A50}">
      <formula1>"Akira Castillo, Andrea Santana, Isaura Mella, Odalis Durán, Ruth J. Rodríguez"</formula1>
    </dataValidation>
  </dataValidation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BBAD1-EAB5-40E9-A86A-F5300F539833}">
  <sheetPr>
    <tabColor rgb="FFC00000"/>
  </sheetPr>
  <dimension ref="A6:J61"/>
  <sheetViews>
    <sheetView topLeftCell="C11" workbookViewId="0">
      <selection activeCell="H14" sqref="H14"/>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6.44140625" customWidth="1"/>
    <col min="10" max="10" width="34.44140625" customWidth="1"/>
  </cols>
  <sheetData>
    <row r="6" spans="1:10">
      <c r="B6" s="1"/>
      <c r="D6" s="1"/>
      <c r="F6" s="1"/>
    </row>
    <row r="7" spans="1:10">
      <c r="B7" s="1"/>
      <c r="D7" s="1"/>
      <c r="F7" s="1"/>
    </row>
    <row r="8" spans="1:10">
      <c r="B8" s="1"/>
      <c r="D8" s="1"/>
      <c r="F8" s="1"/>
    </row>
    <row r="10" spans="1:10">
      <c r="A10" s="356" t="s">
        <v>0</v>
      </c>
      <c r="B10" s="356"/>
      <c r="C10" s="356"/>
      <c r="D10" s="356"/>
      <c r="E10" s="356"/>
      <c r="F10" s="356"/>
      <c r="G10" s="356"/>
      <c r="H10" s="356"/>
      <c r="I10" s="356"/>
      <c r="J10" s="356"/>
    </row>
    <row r="11" spans="1:10">
      <c r="A11" s="356" t="s">
        <v>723</v>
      </c>
      <c r="B11" s="356"/>
      <c r="C11" s="356"/>
      <c r="D11" s="356"/>
      <c r="E11" s="356"/>
      <c r="F11" s="356"/>
      <c r="G11" s="356"/>
      <c r="H11" s="356"/>
      <c r="I11" s="356"/>
      <c r="J11" s="356"/>
    </row>
    <row r="12" spans="1:10">
      <c r="A12" s="2" t="s">
        <v>709</v>
      </c>
      <c r="B12" s="3"/>
      <c r="C12" s="2"/>
      <c r="D12" s="1"/>
      <c r="F12" s="1"/>
    </row>
    <row r="13" spans="1:10">
      <c r="B13" s="1"/>
      <c r="D13" s="1"/>
      <c r="F13" s="1"/>
    </row>
    <row r="14" spans="1:10" ht="43.2">
      <c r="A14" s="26" t="s">
        <v>3</v>
      </c>
      <c r="B14" s="27" t="s">
        <v>4</v>
      </c>
      <c r="C14" s="26" t="s">
        <v>5</v>
      </c>
      <c r="D14" s="27" t="s">
        <v>6</v>
      </c>
      <c r="E14" s="4" t="s">
        <v>7</v>
      </c>
      <c r="F14" s="17" t="s">
        <v>8</v>
      </c>
      <c r="G14" s="284" t="s">
        <v>9</v>
      </c>
      <c r="H14" s="283" t="s">
        <v>710</v>
      </c>
      <c r="I14" s="282" t="s">
        <v>10</v>
      </c>
    </row>
    <row r="15" spans="1:10">
      <c r="A15" s="28" t="s">
        <v>754</v>
      </c>
      <c r="B15" s="32"/>
      <c r="C15" s="32"/>
      <c r="D15" s="32"/>
      <c r="E15" s="7"/>
      <c r="F15" s="8"/>
      <c r="G15" s="285"/>
      <c r="H15" s="47"/>
      <c r="I15" s="96"/>
    </row>
    <row r="16" spans="1:10">
      <c r="A16" s="28" t="s">
        <v>754</v>
      </c>
      <c r="B16" s="29"/>
      <c r="C16" s="29"/>
      <c r="D16" s="29"/>
      <c r="E16" s="9"/>
      <c r="F16" s="18"/>
      <c r="G16" s="286"/>
      <c r="H16" s="47"/>
      <c r="I16" s="97"/>
    </row>
    <row r="17" spans="1:9">
      <c r="A17" s="28" t="s">
        <v>754</v>
      </c>
      <c r="B17" s="29"/>
      <c r="C17" s="29"/>
      <c r="D17" s="29"/>
      <c r="E17" s="9"/>
      <c r="F17" s="18"/>
      <c r="G17" s="286"/>
      <c r="H17" s="47"/>
      <c r="I17" s="97"/>
    </row>
    <row r="18" spans="1:9">
      <c r="A18" s="28" t="s">
        <v>754</v>
      </c>
      <c r="B18" s="29"/>
      <c r="C18" s="29"/>
      <c r="D18" s="29"/>
      <c r="E18" s="9"/>
      <c r="F18" s="18"/>
      <c r="G18" s="286"/>
      <c r="H18" s="47"/>
      <c r="I18" s="97"/>
    </row>
    <row r="19" spans="1:9">
      <c r="A19" s="28" t="s">
        <v>754</v>
      </c>
      <c r="B19" s="29"/>
      <c r="C19" s="29"/>
      <c r="D19" s="29"/>
      <c r="E19" s="9"/>
      <c r="F19" s="18"/>
      <c r="G19" s="286"/>
      <c r="H19" s="47"/>
      <c r="I19" s="97"/>
    </row>
    <row r="20" spans="1:9">
      <c r="A20" s="28" t="s">
        <v>754</v>
      </c>
      <c r="B20" s="29"/>
      <c r="C20" s="29"/>
      <c r="D20" s="29"/>
      <c r="E20" s="9"/>
      <c r="F20" s="18"/>
      <c r="G20" s="286"/>
      <c r="H20" s="47"/>
      <c r="I20" s="97"/>
    </row>
    <row r="21" spans="1:9">
      <c r="A21" s="28" t="s">
        <v>754</v>
      </c>
      <c r="B21" s="29"/>
      <c r="C21" s="29"/>
      <c r="D21" s="29"/>
      <c r="E21" s="9"/>
      <c r="F21" s="18"/>
      <c r="G21" s="286"/>
      <c r="H21" s="47"/>
      <c r="I21" s="97"/>
    </row>
    <row r="22" spans="1:9">
      <c r="A22" s="28"/>
      <c r="B22" s="29"/>
      <c r="C22" s="29"/>
      <c r="D22" s="29"/>
      <c r="E22" s="9"/>
      <c r="F22" s="18"/>
      <c r="G22" s="286"/>
      <c r="H22" s="47"/>
      <c r="I22" s="97"/>
    </row>
    <row r="23" spans="1:9">
      <c r="A23" s="28"/>
      <c r="B23" s="29"/>
      <c r="C23" s="29"/>
      <c r="D23" s="29"/>
      <c r="E23" s="9"/>
      <c r="F23" s="18"/>
      <c r="G23" s="286"/>
      <c r="H23" s="47"/>
      <c r="I23" s="97"/>
    </row>
    <row r="24" spans="1:9">
      <c r="A24" s="28"/>
      <c r="B24" s="29"/>
      <c r="C24" s="29"/>
      <c r="D24" s="29"/>
      <c r="E24" s="9"/>
      <c r="F24" s="18"/>
      <c r="G24" s="286"/>
      <c r="H24" s="47"/>
      <c r="I24" s="97"/>
    </row>
    <row r="25" spans="1:9">
      <c r="A25" s="28"/>
      <c r="B25" s="30"/>
      <c r="C25" s="30"/>
      <c r="D25" s="30"/>
      <c r="E25" s="10"/>
      <c r="F25" s="19"/>
      <c r="G25" s="287"/>
      <c r="H25" s="47"/>
      <c r="I25" s="98"/>
    </row>
    <row r="26" spans="1:9">
      <c r="A26" s="28"/>
      <c r="B26" s="31"/>
      <c r="C26" s="31"/>
      <c r="D26" s="31"/>
      <c r="E26" s="11"/>
      <c r="F26" s="20"/>
      <c r="G26" s="288"/>
      <c r="H26" s="47"/>
      <c r="I26" s="99"/>
    </row>
    <row r="27" spans="1:9">
      <c r="A27" s="31"/>
      <c r="B27" s="31"/>
      <c r="C27" s="31"/>
      <c r="D27" s="31"/>
      <c r="E27" s="11"/>
      <c r="F27" s="20"/>
      <c r="G27" s="288"/>
      <c r="H27" s="47"/>
      <c r="I27" s="99"/>
    </row>
    <row r="28" spans="1:9">
      <c r="A28" s="31"/>
      <c r="B28" s="31"/>
      <c r="C28" s="31"/>
      <c r="D28" s="31"/>
      <c r="E28" s="11"/>
      <c r="F28" s="20"/>
      <c r="G28" s="288"/>
      <c r="H28" s="47"/>
      <c r="I28" s="99"/>
    </row>
    <row r="29" spans="1:9">
      <c r="A29" s="31"/>
      <c r="B29" s="31"/>
      <c r="C29" s="31"/>
      <c r="D29" s="31"/>
      <c r="E29" s="11"/>
      <c r="F29" s="20"/>
      <c r="G29" s="288"/>
      <c r="H29" s="47"/>
      <c r="I29" s="99"/>
    </row>
    <row r="30" spans="1:9">
      <c r="A30" s="31"/>
      <c r="B30" s="31"/>
      <c r="C30" s="31"/>
      <c r="D30" s="31"/>
      <c r="E30" s="11"/>
      <c r="F30" s="20"/>
      <c r="G30" s="288"/>
      <c r="H30" s="47"/>
      <c r="I30" s="99"/>
    </row>
    <row r="31" spans="1:9">
      <c r="A31" s="31"/>
      <c r="B31" s="31"/>
      <c r="C31" s="31"/>
      <c r="D31" s="31"/>
      <c r="E31" s="11"/>
      <c r="F31" s="20"/>
      <c r="G31" s="288"/>
      <c r="H31" s="47"/>
      <c r="I31" s="99"/>
    </row>
    <row r="32" spans="1:9">
      <c r="A32" s="31"/>
      <c r="B32" s="31"/>
      <c r="C32" s="31"/>
      <c r="D32" s="31"/>
      <c r="E32" s="11"/>
      <c r="F32" s="20"/>
      <c r="G32" s="288"/>
      <c r="H32" s="47"/>
      <c r="I32" s="99"/>
    </row>
    <row r="33" spans="1:9">
      <c r="A33" s="31"/>
      <c r="B33" s="31"/>
      <c r="C33" s="31"/>
      <c r="D33" s="31"/>
      <c r="E33" s="11"/>
      <c r="F33" s="20"/>
      <c r="G33" s="288"/>
      <c r="H33" s="47"/>
      <c r="I33" s="99"/>
    </row>
    <row r="34" spans="1:9">
      <c r="A34" s="31"/>
      <c r="B34" s="31"/>
      <c r="C34" s="31"/>
      <c r="D34" s="31"/>
      <c r="E34" s="11"/>
      <c r="F34" s="20"/>
      <c r="G34" s="288"/>
      <c r="H34" s="47"/>
      <c r="I34" s="99"/>
    </row>
    <row r="35" spans="1:9">
      <c r="A35" s="31"/>
      <c r="B35" s="31"/>
      <c r="C35" s="31"/>
      <c r="D35" s="31"/>
      <c r="E35" s="11"/>
      <c r="F35" s="20"/>
      <c r="G35" s="288"/>
      <c r="H35" s="47"/>
      <c r="I35" s="99"/>
    </row>
    <row r="36" spans="1:9">
      <c r="A36" s="31"/>
      <c r="B36" s="31"/>
      <c r="C36" s="31"/>
      <c r="D36" s="31"/>
      <c r="E36" s="11"/>
      <c r="F36" s="20"/>
      <c r="G36" s="288"/>
      <c r="H36" s="47"/>
      <c r="I36" s="99"/>
    </row>
    <row r="37" spans="1:9">
      <c r="A37" s="31"/>
      <c r="B37" s="31"/>
      <c r="C37" s="31"/>
      <c r="D37" s="31"/>
      <c r="E37" s="11"/>
      <c r="F37" s="20"/>
      <c r="G37" s="288"/>
      <c r="H37" s="47"/>
      <c r="I37" s="99"/>
    </row>
    <row r="38" spans="1:9">
      <c r="A38" s="31"/>
      <c r="B38" s="31"/>
      <c r="C38" s="31"/>
      <c r="D38" s="31"/>
      <c r="E38" s="11"/>
      <c r="F38" s="20"/>
      <c r="G38" s="288"/>
      <c r="H38" s="47"/>
      <c r="I38" s="99"/>
    </row>
    <row r="39" spans="1:9">
      <c r="A39" s="31"/>
      <c r="B39" s="31"/>
      <c r="C39" s="31"/>
      <c r="D39" s="31"/>
      <c r="E39" s="11"/>
      <c r="F39" s="20"/>
      <c r="G39" s="288"/>
      <c r="H39" s="47"/>
      <c r="I39" s="99"/>
    </row>
    <row r="40" spans="1:9">
      <c r="A40" s="31"/>
      <c r="B40" s="31"/>
      <c r="C40" s="31"/>
      <c r="D40" s="31"/>
      <c r="E40" s="11"/>
      <c r="F40" s="20"/>
      <c r="G40" s="288"/>
      <c r="H40" s="47"/>
      <c r="I40" s="99"/>
    </row>
    <row r="41" spans="1:9">
      <c r="A41" s="31"/>
      <c r="B41" s="31"/>
      <c r="C41" s="31"/>
      <c r="D41" s="31"/>
      <c r="E41" s="11"/>
      <c r="F41" s="20"/>
      <c r="G41" s="288"/>
      <c r="H41" s="47"/>
      <c r="I41" s="99"/>
    </row>
    <row r="42" spans="1:9">
      <c r="A42" s="31"/>
      <c r="B42" s="31"/>
      <c r="C42" s="31"/>
      <c r="D42" s="31"/>
      <c r="E42" s="11"/>
      <c r="F42" s="20"/>
      <c r="G42" s="288"/>
      <c r="H42" s="47"/>
      <c r="I42" s="99"/>
    </row>
    <row r="43" spans="1:9">
      <c r="A43" s="31"/>
      <c r="B43" s="31"/>
      <c r="C43" s="31"/>
      <c r="D43" s="31"/>
      <c r="E43" s="11"/>
      <c r="F43" s="20"/>
      <c r="G43" s="288"/>
      <c r="H43" s="47"/>
      <c r="I43" s="99"/>
    </row>
    <row r="44" spans="1:9">
      <c r="A44" s="31"/>
      <c r="B44" s="31"/>
      <c r="C44" s="31"/>
      <c r="D44" s="31"/>
      <c r="E44" s="11"/>
      <c r="F44" s="20"/>
      <c r="G44" s="288"/>
      <c r="H44" s="47"/>
      <c r="I44" s="99"/>
    </row>
    <row r="53" spans="1:8" ht="21">
      <c r="A53" s="12"/>
      <c r="B53" s="13" t="s">
        <v>711</v>
      </c>
      <c r="C53" s="14"/>
      <c r="D53" s="14"/>
      <c r="E53" s="12"/>
      <c r="F53" s="12"/>
      <c r="G53" s="12"/>
    </row>
    <row r="55" spans="1:8" ht="15.6">
      <c r="A55" s="369" t="s">
        <v>3</v>
      </c>
      <c r="B55" s="366" t="s">
        <v>712</v>
      </c>
      <c r="C55" s="364" t="s">
        <v>713</v>
      </c>
      <c r="D55" s="361" t="s">
        <v>714</v>
      </c>
      <c r="E55" s="362"/>
      <c r="F55" s="362"/>
      <c r="G55" s="363"/>
      <c r="H55" s="364" t="s">
        <v>715</v>
      </c>
    </row>
    <row r="56" spans="1:8" ht="46.8">
      <c r="A56" s="370"/>
      <c r="B56" s="367"/>
      <c r="C56" s="368"/>
      <c r="D56" s="15" t="s">
        <v>716</v>
      </c>
      <c r="E56" s="15" t="s">
        <v>717</v>
      </c>
      <c r="F56" s="16" t="s">
        <v>718</v>
      </c>
      <c r="G56" s="16" t="s">
        <v>719</v>
      </c>
      <c r="H56" s="365"/>
    </row>
    <row r="57" spans="1:8">
      <c r="A57" s="28" t="s">
        <v>754</v>
      </c>
      <c r="B57" s="33" t="s">
        <v>17</v>
      </c>
      <c r="C57" s="105"/>
      <c r="D57" s="105"/>
      <c r="E57" s="105"/>
      <c r="F57" s="105"/>
      <c r="G57" s="105"/>
      <c r="H57" s="106"/>
    </row>
    <row r="58" spans="1:8">
      <c r="A58" s="28" t="s">
        <v>754</v>
      </c>
      <c r="B58" s="34" t="s">
        <v>720</v>
      </c>
      <c r="C58" s="107"/>
      <c r="D58" s="107"/>
      <c r="E58" s="107"/>
      <c r="F58" s="107"/>
      <c r="G58" s="107"/>
      <c r="H58" s="106"/>
    </row>
    <row r="59" spans="1:8">
      <c r="A59" s="28" t="s">
        <v>754</v>
      </c>
      <c r="B59" s="35" t="s">
        <v>721</v>
      </c>
      <c r="C59" s="109"/>
      <c r="D59" s="109"/>
      <c r="E59" s="109"/>
      <c r="F59" s="109"/>
      <c r="G59" s="109"/>
      <c r="H59" s="106"/>
    </row>
    <row r="60" spans="1:8">
      <c r="A60" s="28" t="s">
        <v>754</v>
      </c>
      <c r="B60" s="21"/>
      <c r="C60" s="110"/>
      <c r="D60" s="110"/>
      <c r="E60" s="110"/>
      <c r="F60" s="110"/>
      <c r="G60" s="110"/>
      <c r="H60" s="106"/>
    </row>
    <row r="61" spans="1:8">
      <c r="A61" s="37" t="s">
        <v>722</v>
      </c>
      <c r="B61" s="38"/>
      <c r="C61" s="107">
        <f t="shared" ref="C61:H61" si="0">SUM(C57:C60)</f>
        <v>0</v>
      </c>
      <c r="D61" s="108">
        <f t="shared" si="0"/>
        <v>0</v>
      </c>
      <c r="E61" s="108">
        <f t="shared" si="0"/>
        <v>0</v>
      </c>
      <c r="F61" s="108">
        <f t="shared" si="0"/>
        <v>0</v>
      </c>
      <c r="G61" s="108">
        <f t="shared" si="0"/>
        <v>0</v>
      </c>
      <c r="H61" s="108">
        <f t="shared" si="0"/>
        <v>0</v>
      </c>
    </row>
  </sheetData>
  <protectedRanges>
    <protectedRange sqref="H14" name="Rango1"/>
  </protectedRanges>
  <mergeCells count="7">
    <mergeCell ref="A10:J10"/>
    <mergeCell ref="A11:J11"/>
    <mergeCell ref="A55:A56"/>
    <mergeCell ref="B55:B56"/>
    <mergeCell ref="C55:C56"/>
    <mergeCell ref="D55:G55"/>
    <mergeCell ref="H55:H56"/>
  </mergeCells>
  <dataValidations count="2">
    <dataValidation type="list" allowBlank="1" showInputMessage="1" showErrorMessage="1" sqref="G15:G44" xr:uid="{B5D34A08-72E6-4BDD-B8D7-584C5C8DC804}">
      <formula1>"Ejecutado, No ejecutado, En Proceso"</formula1>
    </dataValidation>
    <dataValidation type="date" allowBlank="1" showInputMessage="1" showErrorMessage="1" sqref="F15:F44" xr:uid="{A17D4D9C-5D8D-4973-8553-B3FCEB118EAC}">
      <formula1>45931</formula1>
      <formula2>46022</formula2>
    </dataValidation>
  </dataValidation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47C9-AF9C-4E97-AC24-0B6B0D45244A}">
  <sheetPr>
    <tabColor rgb="FF00B050"/>
  </sheetPr>
  <dimension ref="A1:J40"/>
  <sheetViews>
    <sheetView topLeftCell="C13" workbookViewId="0">
      <selection activeCell="H14" sqref="H14"/>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2.6640625" customWidth="1"/>
    <col min="10" max="10" width="34.44140625" customWidth="1"/>
  </cols>
  <sheetData>
    <row r="1" spans="1:10">
      <c r="A1" t="s">
        <v>755</v>
      </c>
    </row>
    <row r="6" spans="1:10">
      <c r="B6" s="1"/>
      <c r="D6" s="1"/>
      <c r="F6" s="1"/>
    </row>
    <row r="7" spans="1:10">
      <c r="B7" s="1"/>
      <c r="D7" s="1"/>
      <c r="F7" s="1"/>
    </row>
    <row r="8" spans="1:10">
      <c r="B8" s="1"/>
      <c r="D8" s="1"/>
      <c r="F8" s="1"/>
    </row>
    <row r="10" spans="1:10">
      <c r="A10" s="356" t="s">
        <v>0</v>
      </c>
      <c r="B10" s="356"/>
      <c r="C10" s="356"/>
      <c r="D10" s="356"/>
      <c r="E10" s="356"/>
      <c r="F10" s="356"/>
      <c r="G10" s="356"/>
      <c r="H10" s="356"/>
      <c r="I10" s="356"/>
      <c r="J10" s="356"/>
    </row>
    <row r="11" spans="1:10">
      <c r="A11" s="356" t="s">
        <v>723</v>
      </c>
      <c r="B11" s="356"/>
      <c r="C11" s="356"/>
      <c r="D11" s="356"/>
      <c r="E11" s="356"/>
      <c r="F11" s="356"/>
      <c r="G11" s="356"/>
      <c r="H11" s="356"/>
      <c r="I11" s="356"/>
      <c r="J11" s="356"/>
    </row>
    <row r="12" spans="1:10">
      <c r="A12" s="2" t="s">
        <v>709</v>
      </c>
      <c r="B12" s="3"/>
      <c r="C12" s="2"/>
      <c r="D12" s="1"/>
      <c r="F12" s="1"/>
    </row>
    <row r="13" spans="1:10">
      <c r="B13" s="1"/>
      <c r="D13" s="1"/>
      <c r="F13" s="1"/>
    </row>
    <row r="14" spans="1:10" ht="43.2">
      <c r="A14" s="26" t="s">
        <v>3</v>
      </c>
      <c r="B14" s="27" t="s">
        <v>4</v>
      </c>
      <c r="C14" s="26" t="s">
        <v>5</v>
      </c>
      <c r="D14" s="27" t="s">
        <v>6</v>
      </c>
      <c r="E14" s="4" t="s">
        <v>7</v>
      </c>
      <c r="F14" s="17" t="s">
        <v>8</v>
      </c>
      <c r="G14" s="284" t="s">
        <v>9</v>
      </c>
      <c r="H14" s="283" t="s">
        <v>710</v>
      </c>
      <c r="I14" s="282" t="s">
        <v>10</v>
      </c>
    </row>
    <row r="15" spans="1:10" ht="43.2">
      <c r="A15" s="28" t="s">
        <v>640</v>
      </c>
      <c r="B15" s="32" t="s">
        <v>641</v>
      </c>
      <c r="C15" t="s">
        <v>642</v>
      </c>
      <c r="D15" s="32" t="s">
        <v>643</v>
      </c>
      <c r="E15" s="7">
        <v>1</v>
      </c>
      <c r="F15" s="8">
        <v>45986</v>
      </c>
      <c r="G15" s="285"/>
      <c r="H15" s="47"/>
      <c r="I15" s="96"/>
    </row>
    <row r="16" spans="1:10" ht="28.8">
      <c r="A16" s="28" t="s">
        <v>640</v>
      </c>
      <c r="B16" s="115" t="s">
        <v>644</v>
      </c>
      <c r="C16" t="s">
        <v>645</v>
      </c>
      <c r="D16" s="32" t="s">
        <v>643</v>
      </c>
      <c r="E16" s="9">
        <v>1</v>
      </c>
      <c r="F16" s="18">
        <v>45960</v>
      </c>
      <c r="G16" s="286"/>
      <c r="H16" s="47"/>
      <c r="I16" s="97"/>
    </row>
    <row r="17" spans="1:9" ht="72">
      <c r="A17" s="28" t="s">
        <v>640</v>
      </c>
      <c r="B17" s="115" t="s">
        <v>646</v>
      </c>
      <c r="C17" s="29" t="s">
        <v>647</v>
      </c>
      <c r="D17" s="32" t="s">
        <v>643</v>
      </c>
      <c r="E17" s="9"/>
      <c r="F17" s="18"/>
      <c r="G17" s="286"/>
      <c r="H17" s="47"/>
      <c r="I17" s="97" t="s">
        <v>648</v>
      </c>
    </row>
    <row r="18" spans="1:9" ht="72">
      <c r="A18" s="28" t="s">
        <v>640</v>
      </c>
      <c r="B18" s="115" t="s">
        <v>649</v>
      </c>
      <c r="C18" s="29" t="s">
        <v>650</v>
      </c>
      <c r="D18" s="32" t="s">
        <v>643</v>
      </c>
      <c r="E18" s="9"/>
      <c r="F18" s="18"/>
      <c r="G18" s="286"/>
      <c r="H18" s="47"/>
      <c r="I18" s="97" t="s">
        <v>648</v>
      </c>
    </row>
    <row r="19" spans="1:9" ht="72">
      <c r="A19" s="28" t="s">
        <v>640</v>
      </c>
      <c r="B19" s="115" t="s">
        <v>651</v>
      </c>
      <c r="C19" s="29" t="s">
        <v>652</v>
      </c>
      <c r="D19" s="32" t="s">
        <v>643</v>
      </c>
      <c r="E19" s="9" t="s">
        <v>653</v>
      </c>
      <c r="F19" s="18">
        <v>45968</v>
      </c>
      <c r="G19" s="286"/>
      <c r="H19" s="47"/>
      <c r="I19" s="97"/>
    </row>
    <row r="20" spans="1:9" ht="29.25" customHeight="1">
      <c r="A20" s="140" t="s">
        <v>640</v>
      </c>
      <c r="B20" s="141" t="s">
        <v>654</v>
      </c>
      <c r="C20" t="s">
        <v>655</v>
      </c>
      <c r="D20" s="32" t="s">
        <v>643</v>
      </c>
      <c r="E20" s="9" t="s">
        <v>656</v>
      </c>
      <c r="F20" s="18"/>
      <c r="G20" s="286"/>
      <c r="H20" s="47"/>
      <c r="I20" s="97" t="s">
        <v>657</v>
      </c>
    </row>
    <row r="21" spans="1:9" hidden="1">
      <c r="A21" s="142"/>
      <c r="B21" s="143"/>
      <c r="C21" s="29"/>
      <c r="D21" s="32" t="s">
        <v>643</v>
      </c>
      <c r="E21" s="9"/>
      <c r="F21" s="18"/>
      <c r="G21" s="286"/>
      <c r="H21" s="47"/>
      <c r="I21" s="97"/>
    </row>
    <row r="22" spans="1:9" ht="28.8">
      <c r="A22" s="28" t="s">
        <v>640</v>
      </c>
      <c r="B22" s="139" t="s">
        <v>658</v>
      </c>
      <c r="C22" t="s">
        <v>659</v>
      </c>
      <c r="D22" s="32" t="s">
        <v>643</v>
      </c>
      <c r="E22" s="9" t="s">
        <v>653</v>
      </c>
      <c r="F22" s="18">
        <v>45959</v>
      </c>
      <c r="G22" s="286"/>
      <c r="H22" s="47"/>
      <c r="I22" s="97"/>
    </row>
    <row r="23" spans="1:9">
      <c r="A23" s="28"/>
      <c r="B23" s="29"/>
      <c r="C23" s="29"/>
      <c r="D23" s="29"/>
      <c r="E23" s="9"/>
      <c r="F23" s="18"/>
      <c r="G23" s="286"/>
      <c r="H23" s="47"/>
      <c r="I23" s="97"/>
    </row>
    <row r="32" spans="1:9" ht="21">
      <c r="A32" s="12"/>
      <c r="B32" s="13" t="s">
        <v>711</v>
      </c>
      <c r="C32" s="14"/>
      <c r="D32" s="14"/>
      <c r="E32" s="12"/>
      <c r="F32" s="12"/>
      <c r="G32" s="12"/>
    </row>
    <row r="34" spans="1:8" ht="15.6">
      <c r="A34" s="369" t="s">
        <v>3</v>
      </c>
      <c r="B34" s="366" t="s">
        <v>712</v>
      </c>
      <c r="C34" s="364" t="s">
        <v>713</v>
      </c>
      <c r="D34" s="361" t="s">
        <v>714</v>
      </c>
      <c r="E34" s="362"/>
      <c r="F34" s="362"/>
      <c r="G34" s="363"/>
      <c r="H34" s="364" t="s">
        <v>715</v>
      </c>
    </row>
    <row r="35" spans="1:8" ht="46.8">
      <c r="A35" s="370"/>
      <c r="B35" s="367"/>
      <c r="C35" s="368"/>
      <c r="D35" s="15" t="s">
        <v>716</v>
      </c>
      <c r="E35" s="15" t="s">
        <v>717</v>
      </c>
      <c r="F35" s="16" t="s">
        <v>718</v>
      </c>
      <c r="G35" s="16" t="s">
        <v>719</v>
      </c>
      <c r="H35" s="365"/>
    </row>
    <row r="36" spans="1:8">
      <c r="A36" s="28"/>
      <c r="B36" s="33" t="s">
        <v>17</v>
      </c>
      <c r="C36" s="105"/>
      <c r="D36" s="105"/>
      <c r="E36" s="105"/>
      <c r="F36" s="105"/>
      <c r="G36" s="105"/>
      <c r="H36" s="106"/>
    </row>
    <row r="37" spans="1:8">
      <c r="A37" s="28"/>
      <c r="B37" s="34" t="s">
        <v>720</v>
      </c>
      <c r="C37" s="107"/>
      <c r="D37" s="107"/>
      <c r="E37" s="107"/>
      <c r="F37" s="107"/>
      <c r="G37" s="107"/>
      <c r="H37" s="106"/>
    </row>
    <row r="38" spans="1:8">
      <c r="A38" s="28"/>
      <c r="B38" s="35" t="s">
        <v>721</v>
      </c>
      <c r="C38" s="109"/>
      <c r="D38" s="109"/>
      <c r="E38" s="109"/>
      <c r="F38" s="109"/>
      <c r="G38" s="109"/>
      <c r="H38" s="106"/>
    </row>
    <row r="39" spans="1:8">
      <c r="A39" s="28"/>
      <c r="B39" s="21"/>
      <c r="C39" s="110"/>
      <c r="D39" s="110"/>
      <c r="E39" s="110"/>
      <c r="F39" s="110"/>
      <c r="G39" s="110"/>
      <c r="H39" s="106"/>
    </row>
    <row r="40" spans="1:8">
      <c r="A40" s="37" t="s">
        <v>722</v>
      </c>
      <c r="B40" s="38"/>
      <c r="C40" s="107">
        <f t="shared" ref="C40:H40" si="0">SUM(C36:C39)</f>
        <v>0</v>
      </c>
      <c r="D40" s="108">
        <f t="shared" si="0"/>
        <v>0</v>
      </c>
      <c r="E40" s="108">
        <f t="shared" si="0"/>
        <v>0</v>
      </c>
      <c r="F40" s="108">
        <f t="shared" si="0"/>
        <v>0</v>
      </c>
      <c r="G40" s="108">
        <f t="shared" si="0"/>
        <v>0</v>
      </c>
      <c r="H40" s="108">
        <f t="shared" si="0"/>
        <v>0</v>
      </c>
    </row>
  </sheetData>
  <protectedRanges>
    <protectedRange sqref="H14" name="Rango1"/>
  </protectedRanges>
  <mergeCells count="7">
    <mergeCell ref="A10:J10"/>
    <mergeCell ref="A11:J11"/>
    <mergeCell ref="A34:A35"/>
    <mergeCell ref="B34:B35"/>
    <mergeCell ref="C34:C35"/>
    <mergeCell ref="D34:G34"/>
    <mergeCell ref="H34:H35"/>
  </mergeCells>
  <dataValidations count="3">
    <dataValidation type="list" allowBlank="1" showInputMessage="1" showErrorMessage="1" sqref="D15:D23" xr:uid="{3CFFFADB-5357-4904-AB52-0A8B6FF0B774}">
      <formula1>"Ryde Acosta"</formula1>
    </dataValidation>
    <dataValidation type="list" allowBlank="1" showInputMessage="1" showErrorMessage="1" sqref="G15:G23" xr:uid="{9FECC07E-02AE-4B97-B54A-EFCCCD4BAA75}">
      <formula1>"Ejecutado, No ejecutado, En Proceso"</formula1>
    </dataValidation>
    <dataValidation type="date" allowBlank="1" showInputMessage="1" showErrorMessage="1" sqref="F15:F23" xr:uid="{DB51B036-D32D-4EAD-9482-098C858B8E96}">
      <formula1>45931</formula1>
      <formula2>46022</formula2>
    </dataValidation>
  </dataValidation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39355-D5BF-4412-9D5F-A9489EA9EA2D}">
  <sheetPr>
    <tabColor rgb="FF00B050"/>
  </sheetPr>
  <dimension ref="A6:J44"/>
  <sheetViews>
    <sheetView topLeftCell="D5" workbookViewId="0">
      <selection activeCell="H14" sqref="H14"/>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30.44140625" customWidth="1"/>
    <col min="10" max="10" width="34.44140625" customWidth="1"/>
  </cols>
  <sheetData>
    <row r="6" spans="1:10">
      <c r="B6" s="1"/>
      <c r="D6" s="1"/>
      <c r="F6" s="1"/>
    </row>
    <row r="7" spans="1:10">
      <c r="B7" s="1"/>
      <c r="D7" s="1"/>
      <c r="F7" s="1"/>
    </row>
    <row r="8" spans="1:10">
      <c r="B8" s="1"/>
      <c r="D8" s="1"/>
      <c r="F8" s="1"/>
    </row>
    <row r="10" spans="1:10">
      <c r="A10" s="356" t="s">
        <v>0</v>
      </c>
      <c r="B10" s="356"/>
      <c r="C10" s="356"/>
      <c r="D10" s="356"/>
      <c r="E10" s="356"/>
      <c r="F10" s="356"/>
      <c r="G10" s="356"/>
      <c r="H10" s="356"/>
      <c r="I10" s="356"/>
      <c r="J10" s="356"/>
    </row>
    <row r="11" spans="1:10">
      <c r="A11" s="356" t="s">
        <v>723</v>
      </c>
      <c r="B11" s="356"/>
      <c r="C11" s="356"/>
      <c r="D11" s="356"/>
      <c r="E11" s="356"/>
      <c r="F11" s="356"/>
      <c r="G11" s="356"/>
      <c r="H11" s="356"/>
      <c r="I11" s="356"/>
      <c r="J11" s="356"/>
    </row>
    <row r="12" spans="1:10">
      <c r="A12" s="2" t="s">
        <v>709</v>
      </c>
      <c r="B12" s="3"/>
      <c r="C12" s="2"/>
      <c r="D12" s="1"/>
      <c r="F12" s="1"/>
    </row>
    <row r="13" spans="1:10">
      <c r="B13" s="1"/>
      <c r="D13" s="1"/>
      <c r="F13" s="1"/>
    </row>
    <row r="14" spans="1:10" ht="43.2">
      <c r="A14" s="26" t="s">
        <v>3</v>
      </c>
      <c r="B14" s="27" t="s">
        <v>4</v>
      </c>
      <c r="C14" s="26" t="s">
        <v>5</v>
      </c>
      <c r="D14" s="27" t="s">
        <v>6</v>
      </c>
      <c r="E14" s="4" t="s">
        <v>7</v>
      </c>
      <c r="F14" s="17" t="s">
        <v>8</v>
      </c>
      <c r="G14" s="284" t="s">
        <v>9</v>
      </c>
      <c r="H14" s="283" t="s">
        <v>710</v>
      </c>
      <c r="I14" s="282" t="s">
        <v>10</v>
      </c>
    </row>
    <row r="15" spans="1:10" ht="86.4">
      <c r="A15" s="28" t="s">
        <v>660</v>
      </c>
      <c r="B15" s="32" t="s">
        <v>661</v>
      </c>
      <c r="C15" s="32" t="s">
        <v>662</v>
      </c>
      <c r="D15" s="32" t="s">
        <v>663</v>
      </c>
      <c r="E15" s="7">
        <v>80</v>
      </c>
      <c r="F15" s="8">
        <v>45972</v>
      </c>
      <c r="G15" s="285" t="s">
        <v>512</v>
      </c>
      <c r="H15" s="47"/>
      <c r="I15" s="96"/>
    </row>
    <row r="16" spans="1:10" ht="57.6">
      <c r="A16" s="28" t="s">
        <v>660</v>
      </c>
      <c r="B16" s="29" t="s">
        <v>664</v>
      </c>
      <c r="C16" s="29" t="s">
        <v>665</v>
      </c>
      <c r="D16" s="29" t="s">
        <v>663</v>
      </c>
      <c r="E16" s="9">
        <v>80</v>
      </c>
      <c r="F16" s="18">
        <v>45961</v>
      </c>
      <c r="G16" s="286" t="s">
        <v>512</v>
      </c>
      <c r="H16" s="47"/>
      <c r="I16" s="97"/>
    </row>
    <row r="17" spans="1:9" ht="72">
      <c r="A17" s="28" t="s">
        <v>660</v>
      </c>
      <c r="B17" s="29" t="s">
        <v>666</v>
      </c>
      <c r="C17" s="29" t="s">
        <v>667</v>
      </c>
      <c r="D17" s="29" t="s">
        <v>663</v>
      </c>
      <c r="E17" s="9">
        <v>85</v>
      </c>
      <c r="F17" s="18">
        <v>45958</v>
      </c>
      <c r="G17" s="286" t="s">
        <v>148</v>
      </c>
      <c r="H17" s="47"/>
      <c r="I17" s="97"/>
    </row>
    <row r="18" spans="1:9" ht="57.6">
      <c r="A18" s="28" t="s">
        <v>660</v>
      </c>
      <c r="B18" s="29" t="s">
        <v>668</v>
      </c>
      <c r="C18" s="29" t="s">
        <v>669</v>
      </c>
      <c r="D18" s="29" t="s">
        <v>663</v>
      </c>
      <c r="E18" s="9">
        <v>56</v>
      </c>
      <c r="F18" s="18">
        <v>45996</v>
      </c>
      <c r="G18" s="286" t="s">
        <v>512</v>
      </c>
      <c r="H18" s="47"/>
      <c r="I18" s="97"/>
    </row>
    <row r="19" spans="1:9" ht="100.8">
      <c r="A19" s="28" t="s">
        <v>660</v>
      </c>
      <c r="B19" s="29" t="s">
        <v>670</v>
      </c>
      <c r="C19" s="29" t="s">
        <v>671</v>
      </c>
      <c r="D19" s="29" t="s">
        <v>663</v>
      </c>
      <c r="E19" s="9">
        <v>12</v>
      </c>
      <c r="F19" s="18">
        <v>45943</v>
      </c>
      <c r="G19" s="286" t="s">
        <v>148</v>
      </c>
      <c r="H19" s="47"/>
      <c r="I19" s="97"/>
    </row>
    <row r="20" spans="1:9" ht="43.2">
      <c r="A20" s="28" t="s">
        <v>660</v>
      </c>
      <c r="B20" s="29" t="s">
        <v>672</v>
      </c>
      <c r="C20" s="29" t="s">
        <v>673</v>
      </c>
      <c r="D20" s="29" t="s">
        <v>663</v>
      </c>
      <c r="E20" s="9">
        <v>33</v>
      </c>
      <c r="F20" s="18">
        <v>45931</v>
      </c>
      <c r="G20" s="286" t="s">
        <v>47</v>
      </c>
      <c r="H20" s="47"/>
      <c r="I20" s="97"/>
    </row>
    <row r="21" spans="1:9" ht="57.6">
      <c r="A21" s="28" t="s">
        <v>660</v>
      </c>
      <c r="B21" s="29" t="s">
        <v>674</v>
      </c>
      <c r="C21" s="29" t="s">
        <v>675</v>
      </c>
      <c r="D21" s="29" t="s">
        <v>663</v>
      </c>
      <c r="E21" s="9">
        <v>21</v>
      </c>
      <c r="F21" s="18">
        <v>45999</v>
      </c>
      <c r="G21" s="286" t="s">
        <v>148</v>
      </c>
      <c r="H21" s="47"/>
      <c r="I21" s="97"/>
    </row>
    <row r="22" spans="1:9" ht="72">
      <c r="A22" s="28" t="s">
        <v>660</v>
      </c>
      <c r="B22" s="29" t="s">
        <v>676</v>
      </c>
      <c r="C22" s="29" t="s">
        <v>677</v>
      </c>
      <c r="D22" s="29"/>
      <c r="E22" s="9">
        <v>14</v>
      </c>
      <c r="F22" s="18">
        <v>45993</v>
      </c>
      <c r="G22" s="286"/>
      <c r="H22" s="47"/>
      <c r="I22" s="97"/>
    </row>
    <row r="23" spans="1:9" ht="72">
      <c r="A23" s="28" t="s">
        <v>660</v>
      </c>
      <c r="B23" s="115" t="s">
        <v>678</v>
      </c>
      <c r="C23" s="115" t="s">
        <v>679</v>
      </c>
      <c r="D23" s="29" t="s">
        <v>663</v>
      </c>
      <c r="E23" s="9">
        <v>14</v>
      </c>
      <c r="F23" s="18">
        <v>45993</v>
      </c>
      <c r="G23" s="286"/>
      <c r="H23" s="47"/>
      <c r="I23" s="97"/>
    </row>
    <row r="24" spans="1:9" ht="72">
      <c r="A24" s="28" t="s">
        <v>660</v>
      </c>
      <c r="B24" s="29" t="s">
        <v>680</v>
      </c>
      <c r="C24" s="29" t="s">
        <v>681</v>
      </c>
      <c r="D24" s="29" t="s">
        <v>663</v>
      </c>
      <c r="E24" s="9">
        <v>81</v>
      </c>
      <c r="F24" s="18">
        <v>45950</v>
      </c>
      <c r="G24" s="286" t="s">
        <v>47</v>
      </c>
      <c r="H24" s="47"/>
      <c r="I24" s="97"/>
    </row>
    <row r="25" spans="1:9" ht="115.2">
      <c r="A25" s="28" t="s">
        <v>660</v>
      </c>
      <c r="B25" s="30" t="s">
        <v>682</v>
      </c>
      <c r="C25" s="30" t="s">
        <v>683</v>
      </c>
      <c r="D25" s="30"/>
      <c r="E25" s="10">
        <v>47</v>
      </c>
      <c r="F25" s="19">
        <v>45943</v>
      </c>
      <c r="G25" s="287"/>
      <c r="H25" s="47"/>
      <c r="I25" s="98"/>
    </row>
    <row r="26" spans="1:9" ht="57.6">
      <c r="A26" s="28" t="s">
        <v>660</v>
      </c>
      <c r="B26" s="115" t="s">
        <v>684</v>
      </c>
      <c r="C26" s="115" t="s">
        <v>685</v>
      </c>
      <c r="D26" s="31"/>
      <c r="E26" s="11">
        <v>14</v>
      </c>
      <c r="F26" s="20">
        <v>45931</v>
      </c>
      <c r="G26" s="288"/>
      <c r="H26" s="47"/>
      <c r="I26" s="99"/>
    </row>
    <row r="27" spans="1:9" ht="72">
      <c r="A27" s="28" t="s">
        <v>660</v>
      </c>
      <c r="B27" s="115" t="s">
        <v>686</v>
      </c>
      <c r="C27" s="115" t="s">
        <v>687</v>
      </c>
      <c r="D27" s="31"/>
      <c r="E27" s="11">
        <v>25</v>
      </c>
      <c r="F27" s="20">
        <v>46001</v>
      </c>
      <c r="G27" s="288"/>
      <c r="H27" s="47"/>
      <c r="I27" s="99"/>
    </row>
    <row r="28" spans="1:9">
      <c r="H28" s="47"/>
    </row>
    <row r="36" spans="1:8" ht="21">
      <c r="A36" s="12"/>
      <c r="B36" s="13" t="s">
        <v>711</v>
      </c>
      <c r="C36" s="14"/>
      <c r="D36" s="14"/>
      <c r="E36" s="12"/>
      <c r="F36" s="12"/>
      <c r="G36" s="12"/>
    </row>
    <row r="38" spans="1:8" ht="15.6">
      <c r="A38" s="369" t="s">
        <v>3</v>
      </c>
      <c r="B38" s="366" t="s">
        <v>712</v>
      </c>
      <c r="C38" s="364" t="s">
        <v>713</v>
      </c>
      <c r="D38" s="361" t="s">
        <v>714</v>
      </c>
      <c r="E38" s="362"/>
      <c r="F38" s="362"/>
      <c r="G38" s="363"/>
      <c r="H38" s="364" t="s">
        <v>715</v>
      </c>
    </row>
    <row r="39" spans="1:8" ht="46.8">
      <c r="A39" s="370"/>
      <c r="B39" s="367"/>
      <c r="C39" s="368"/>
      <c r="D39" s="15" t="s">
        <v>716</v>
      </c>
      <c r="E39" s="15" t="s">
        <v>717</v>
      </c>
      <c r="F39" s="16" t="s">
        <v>718</v>
      </c>
      <c r="G39" s="16" t="s">
        <v>719</v>
      </c>
      <c r="H39" s="365"/>
    </row>
    <row r="40" spans="1:8">
      <c r="A40" s="28" t="s">
        <v>660</v>
      </c>
      <c r="B40" s="33" t="s">
        <v>17</v>
      </c>
      <c r="C40" s="105"/>
      <c r="D40" s="105"/>
      <c r="E40" s="105"/>
      <c r="F40" s="105"/>
      <c r="G40" s="105"/>
      <c r="H40" s="106"/>
    </row>
    <row r="41" spans="1:8">
      <c r="A41" s="28" t="s">
        <v>660</v>
      </c>
      <c r="B41" s="34" t="s">
        <v>720</v>
      </c>
      <c r="C41" s="107"/>
      <c r="D41" s="107"/>
      <c r="E41" s="107"/>
      <c r="F41" s="107"/>
      <c r="G41" s="107"/>
      <c r="H41" s="106"/>
    </row>
    <row r="42" spans="1:8">
      <c r="A42" s="28" t="s">
        <v>660</v>
      </c>
      <c r="B42" s="35" t="s">
        <v>721</v>
      </c>
      <c r="C42" s="109"/>
      <c r="D42" s="109"/>
      <c r="E42" s="109"/>
      <c r="F42" s="109"/>
      <c r="G42" s="109"/>
      <c r="H42" s="106"/>
    </row>
    <row r="43" spans="1:8">
      <c r="A43" s="28" t="s">
        <v>660</v>
      </c>
      <c r="B43" s="21"/>
      <c r="C43" s="110"/>
      <c r="D43" s="110"/>
      <c r="E43" s="110"/>
      <c r="F43" s="110"/>
      <c r="G43" s="110"/>
      <c r="H43" s="106"/>
    </row>
    <row r="44" spans="1:8">
      <c r="A44" s="37" t="s">
        <v>722</v>
      </c>
      <c r="B44" s="38"/>
      <c r="C44" s="107">
        <f t="shared" ref="C44:H44" si="0">SUM(C40:C43)</f>
        <v>0</v>
      </c>
      <c r="D44" s="108">
        <f t="shared" si="0"/>
        <v>0</v>
      </c>
      <c r="E44" s="108">
        <f t="shared" si="0"/>
        <v>0</v>
      </c>
      <c r="F44" s="108">
        <f t="shared" si="0"/>
        <v>0</v>
      </c>
      <c r="G44" s="108">
        <f t="shared" si="0"/>
        <v>0</v>
      </c>
      <c r="H44" s="108">
        <f t="shared" si="0"/>
        <v>0</v>
      </c>
    </row>
  </sheetData>
  <protectedRanges>
    <protectedRange sqref="H14" name="Rango1"/>
  </protectedRanges>
  <mergeCells count="7">
    <mergeCell ref="A10:J10"/>
    <mergeCell ref="A11:J11"/>
    <mergeCell ref="A38:A39"/>
    <mergeCell ref="B38:B39"/>
    <mergeCell ref="C38:C39"/>
    <mergeCell ref="D38:G38"/>
    <mergeCell ref="H38:H39"/>
  </mergeCells>
  <dataValidations count="3">
    <dataValidation type="list" allowBlank="1" showInputMessage="1" showErrorMessage="1" sqref="D15:D27" xr:uid="{AC628586-8C8D-407B-BFE4-5068776AB596}">
      <formula1>"Adalgisa García, Ana Catalina Pérez "</formula1>
    </dataValidation>
    <dataValidation type="list" allowBlank="1" showInputMessage="1" showErrorMessage="1" sqref="G15:G27" xr:uid="{CEBEF8D7-C526-4B04-85C9-91B7B224F217}">
      <formula1>"Ejecutado, No ejecutado, En Proceso"</formula1>
    </dataValidation>
    <dataValidation type="date" allowBlank="1" showInputMessage="1" showErrorMessage="1" sqref="F15:F27" xr:uid="{B98A6105-D632-4ED4-8FD5-12B072AAA4EF}">
      <formula1>45931</formula1>
      <formula2>46022</formula2>
    </dataValidation>
  </dataValidation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FCDA7-FCF3-46A5-A305-B2250161248C}">
  <sheetPr>
    <tabColor rgb="FF0070C0"/>
  </sheetPr>
  <dimension ref="A1:J42"/>
  <sheetViews>
    <sheetView topLeftCell="C36" workbookViewId="0">
      <selection activeCell="H41" sqref="H41"/>
    </sheetView>
  </sheetViews>
  <sheetFormatPr baseColWidth="10" defaultColWidth="11.44140625" defaultRowHeight="14.4"/>
  <cols>
    <col min="1" max="1" width="29.4414062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9" max="9" width="23.6640625" customWidth="1"/>
    <col min="10" max="10" width="34.44140625" customWidth="1"/>
  </cols>
  <sheetData>
    <row r="1" spans="1:10">
      <c r="A1" t="s">
        <v>756</v>
      </c>
    </row>
    <row r="6" spans="1:10">
      <c r="B6" s="1"/>
      <c r="D6" s="1"/>
      <c r="F6" s="1"/>
    </row>
    <row r="7" spans="1:10">
      <c r="B7" s="1"/>
      <c r="D7" s="1"/>
      <c r="F7" s="1"/>
    </row>
    <row r="8" spans="1:10">
      <c r="B8" s="1"/>
      <c r="D8" s="1"/>
      <c r="F8" s="1"/>
    </row>
    <row r="10" spans="1:10">
      <c r="A10" s="356" t="s">
        <v>0</v>
      </c>
      <c r="B10" s="356"/>
      <c r="C10" s="356"/>
      <c r="D10" s="356"/>
      <c r="E10" s="356"/>
      <c r="F10" s="356"/>
      <c r="G10" s="356"/>
      <c r="H10" s="356"/>
      <c r="I10" s="356"/>
      <c r="J10" s="356"/>
    </row>
    <row r="11" spans="1:10">
      <c r="A11" s="356" t="s">
        <v>723</v>
      </c>
      <c r="B11" s="356"/>
      <c r="C11" s="356"/>
      <c r="D11" s="356"/>
      <c r="E11" s="356"/>
      <c r="F11" s="356"/>
      <c r="G11" s="356"/>
      <c r="H11" s="356"/>
      <c r="I11" s="356"/>
      <c r="J11" s="356"/>
    </row>
    <row r="12" spans="1:10">
      <c r="A12" s="2" t="s">
        <v>709</v>
      </c>
      <c r="B12" s="3"/>
      <c r="C12" s="2"/>
      <c r="D12" s="1"/>
      <c r="F12" s="1"/>
    </row>
    <row r="13" spans="1:10">
      <c r="B13" s="1"/>
      <c r="D13" s="1"/>
      <c r="F13" s="1"/>
    </row>
    <row r="14" spans="1:10" ht="43.2">
      <c r="A14" s="26" t="s">
        <v>3</v>
      </c>
      <c r="B14" s="27" t="s">
        <v>4</v>
      </c>
      <c r="C14" s="26" t="s">
        <v>5</v>
      </c>
      <c r="D14" s="27" t="s">
        <v>6</v>
      </c>
      <c r="E14" s="4" t="s">
        <v>7</v>
      </c>
      <c r="F14" s="17" t="s">
        <v>8</v>
      </c>
      <c r="G14" s="284" t="s">
        <v>9</v>
      </c>
      <c r="H14" s="289" t="s">
        <v>710</v>
      </c>
      <c r="I14" s="282" t="s">
        <v>10</v>
      </c>
    </row>
    <row r="15" spans="1:10" ht="43.2">
      <c r="A15" s="290" t="s">
        <v>757</v>
      </c>
      <c r="B15" s="291" t="s">
        <v>758</v>
      </c>
      <c r="C15" s="32"/>
      <c r="D15" s="32" t="s">
        <v>759</v>
      </c>
      <c r="E15" s="7"/>
      <c r="F15" s="8"/>
      <c r="G15" s="285"/>
      <c r="H15" s="112"/>
      <c r="I15" s="96"/>
    </row>
    <row r="16" spans="1:10" ht="86.4">
      <c r="A16" s="290" t="s">
        <v>757</v>
      </c>
      <c r="B16" s="291" t="s">
        <v>760</v>
      </c>
      <c r="C16" s="29"/>
      <c r="D16" s="29" t="s">
        <v>759</v>
      </c>
      <c r="E16" s="9"/>
      <c r="F16" s="18"/>
      <c r="G16" s="286"/>
      <c r="H16" s="47"/>
      <c r="I16" s="97" t="s">
        <v>761</v>
      </c>
    </row>
    <row r="17" spans="1:9" ht="57.6">
      <c r="A17" s="290" t="s">
        <v>757</v>
      </c>
      <c r="B17" s="291" t="s">
        <v>762</v>
      </c>
      <c r="C17" s="29"/>
      <c r="D17" s="29" t="s">
        <v>759</v>
      </c>
      <c r="E17" s="9"/>
      <c r="F17" s="18"/>
      <c r="G17" s="286"/>
      <c r="H17" s="47"/>
      <c r="I17" s="97"/>
    </row>
    <row r="18" spans="1:9" ht="72">
      <c r="A18" s="290" t="s">
        <v>757</v>
      </c>
      <c r="B18" s="291" t="s">
        <v>763</v>
      </c>
      <c r="C18" s="29"/>
      <c r="D18" s="29" t="s">
        <v>759</v>
      </c>
      <c r="E18" s="9"/>
      <c r="F18" s="18"/>
      <c r="G18" s="286"/>
      <c r="H18" s="47"/>
      <c r="I18" s="97"/>
    </row>
    <row r="19" spans="1:9" ht="57.6">
      <c r="A19" s="290" t="s">
        <v>757</v>
      </c>
      <c r="B19" s="291" t="s">
        <v>764</v>
      </c>
      <c r="C19" s="29"/>
      <c r="D19" s="29" t="s">
        <v>759</v>
      </c>
      <c r="E19" s="9"/>
      <c r="F19" s="18"/>
      <c r="G19" s="286"/>
      <c r="H19" s="47"/>
      <c r="I19" s="97"/>
    </row>
    <row r="20" spans="1:9" ht="57.6">
      <c r="A20" s="290" t="s">
        <v>757</v>
      </c>
      <c r="B20" s="291" t="s">
        <v>765</v>
      </c>
      <c r="C20" s="29"/>
      <c r="D20" s="29" t="s">
        <v>759</v>
      </c>
      <c r="E20" s="9"/>
      <c r="F20" s="18"/>
      <c r="G20" s="286"/>
      <c r="H20" s="47"/>
      <c r="I20" s="97"/>
    </row>
    <row r="21" spans="1:9" ht="57.6">
      <c r="A21" s="290" t="s">
        <v>757</v>
      </c>
      <c r="B21" s="291" t="s">
        <v>766</v>
      </c>
      <c r="C21" s="29"/>
      <c r="D21" s="29" t="s">
        <v>759</v>
      </c>
      <c r="E21" s="9"/>
      <c r="F21" s="18"/>
      <c r="G21" s="286"/>
      <c r="H21" s="47"/>
      <c r="I21" s="97" t="s">
        <v>767</v>
      </c>
    </row>
    <row r="22" spans="1:9" ht="86.4">
      <c r="A22" s="290" t="s">
        <v>757</v>
      </c>
      <c r="B22" s="291" t="s">
        <v>768</v>
      </c>
      <c r="C22" s="29"/>
      <c r="D22" s="29" t="s">
        <v>759</v>
      </c>
      <c r="E22" s="9"/>
      <c r="F22" s="18"/>
      <c r="G22" s="286"/>
      <c r="H22" s="47"/>
      <c r="I22" s="97"/>
    </row>
    <row r="23" spans="1:9" ht="72">
      <c r="A23" s="290" t="s">
        <v>757</v>
      </c>
      <c r="B23" s="291" t="s">
        <v>769</v>
      </c>
      <c r="C23" s="29"/>
      <c r="D23" s="29" t="s">
        <v>759</v>
      </c>
      <c r="E23" s="9"/>
      <c r="F23" s="18"/>
      <c r="G23" s="286"/>
      <c r="H23" s="47"/>
      <c r="I23" s="97"/>
    </row>
    <row r="24" spans="1:9" ht="72">
      <c r="A24" s="290" t="s">
        <v>757</v>
      </c>
      <c r="B24" s="291" t="s">
        <v>770</v>
      </c>
      <c r="C24" s="30"/>
      <c r="D24" s="30" t="s">
        <v>759</v>
      </c>
      <c r="E24" s="10"/>
      <c r="F24" s="19"/>
      <c r="G24" s="287"/>
      <c r="H24" s="47"/>
      <c r="I24" s="98" t="s">
        <v>767</v>
      </c>
    </row>
    <row r="25" spans="1:9" ht="72">
      <c r="A25" s="290" t="s">
        <v>757</v>
      </c>
      <c r="B25" s="291" t="s">
        <v>771</v>
      </c>
      <c r="C25" s="31"/>
      <c r="D25" s="31" t="s">
        <v>759</v>
      </c>
      <c r="E25" s="11"/>
      <c r="F25" s="20"/>
      <c r="G25" s="288"/>
      <c r="H25" s="47"/>
      <c r="I25" s="99"/>
    </row>
    <row r="34" spans="1:8" ht="21">
      <c r="A34" s="12"/>
      <c r="B34" s="13" t="s">
        <v>711</v>
      </c>
      <c r="C34" s="14"/>
      <c r="D34" s="14"/>
      <c r="E34" s="12"/>
      <c r="F34" s="12"/>
      <c r="G34" s="12"/>
    </row>
    <row r="36" spans="1:8" ht="15.6">
      <c r="A36" s="369" t="s">
        <v>3</v>
      </c>
      <c r="B36" s="366" t="s">
        <v>712</v>
      </c>
      <c r="C36" s="364" t="s">
        <v>713</v>
      </c>
      <c r="D36" s="361" t="s">
        <v>714</v>
      </c>
      <c r="E36" s="362"/>
      <c r="F36" s="362"/>
      <c r="G36" s="363"/>
      <c r="H36" s="364" t="s">
        <v>715</v>
      </c>
    </row>
    <row r="37" spans="1:8" ht="46.8">
      <c r="A37" s="370"/>
      <c r="B37" s="367"/>
      <c r="C37" s="368"/>
      <c r="D37" s="15" t="s">
        <v>716</v>
      </c>
      <c r="E37" s="15" t="s">
        <v>717</v>
      </c>
      <c r="F37" s="16" t="s">
        <v>718</v>
      </c>
      <c r="G37" s="16" t="s">
        <v>719</v>
      </c>
      <c r="H37" s="365"/>
    </row>
    <row r="38" spans="1:8">
      <c r="A38" s="290" t="s">
        <v>757</v>
      </c>
      <c r="B38" s="33" t="s">
        <v>17</v>
      </c>
      <c r="C38" s="105">
        <v>20</v>
      </c>
      <c r="D38" s="105"/>
      <c r="E38" s="105"/>
      <c r="F38" s="105"/>
      <c r="G38" s="105"/>
      <c r="H38" s="106"/>
    </row>
    <row r="39" spans="1:8">
      <c r="A39" s="290" t="s">
        <v>757</v>
      </c>
      <c r="B39" s="34" t="s">
        <v>720</v>
      </c>
      <c r="C39" s="107">
        <v>1</v>
      </c>
      <c r="D39" s="107">
        <v>6</v>
      </c>
      <c r="E39" s="107">
        <v>2</v>
      </c>
      <c r="F39" s="107">
        <v>0</v>
      </c>
      <c r="G39" s="107">
        <v>5</v>
      </c>
      <c r="H39" s="106"/>
    </row>
    <row r="40" spans="1:8">
      <c r="A40" s="290" t="s">
        <v>757</v>
      </c>
      <c r="B40" s="35" t="s">
        <v>721</v>
      </c>
      <c r="C40" s="109"/>
      <c r="D40" s="109"/>
      <c r="E40" s="109"/>
      <c r="F40" s="109"/>
      <c r="G40" s="109"/>
      <c r="H40" s="106"/>
    </row>
    <row r="41" spans="1:8">
      <c r="A41" s="290" t="s">
        <v>757</v>
      </c>
      <c r="B41" s="21"/>
      <c r="C41" s="110"/>
      <c r="D41" s="110"/>
      <c r="E41" s="110"/>
      <c r="F41" s="110"/>
      <c r="G41" s="110"/>
      <c r="H41" s="106"/>
    </row>
    <row r="42" spans="1:8">
      <c r="A42" s="37" t="s">
        <v>722</v>
      </c>
      <c r="B42" s="38"/>
      <c r="C42" s="107">
        <f t="shared" ref="C42:H42" si="0">SUM(C38:C41)</f>
        <v>21</v>
      </c>
      <c r="D42" s="108">
        <f t="shared" si="0"/>
        <v>6</v>
      </c>
      <c r="E42" s="108">
        <f t="shared" si="0"/>
        <v>2</v>
      </c>
      <c r="F42" s="108">
        <f t="shared" si="0"/>
        <v>0</v>
      </c>
      <c r="G42" s="108">
        <f t="shared" si="0"/>
        <v>5</v>
      </c>
      <c r="H42" s="108">
        <f t="shared" si="0"/>
        <v>0</v>
      </c>
    </row>
  </sheetData>
  <mergeCells count="7">
    <mergeCell ref="A10:J10"/>
    <mergeCell ref="A11:J11"/>
    <mergeCell ref="A36:A37"/>
    <mergeCell ref="B36:B37"/>
    <mergeCell ref="C36:C37"/>
    <mergeCell ref="D36:G36"/>
    <mergeCell ref="H36:H37"/>
  </mergeCells>
  <dataValidations count="3">
    <dataValidation type="date" allowBlank="1" showInputMessage="1" showErrorMessage="1" sqref="F15:F25" xr:uid="{995B1F12-0E87-4984-B83B-9475F0061B63}">
      <formula1>45931</formula1>
      <formula2>46022</formula2>
    </dataValidation>
    <dataValidation type="list" allowBlank="1" showInputMessage="1" showErrorMessage="1" sqref="G15:G25" xr:uid="{2853E53D-6731-4C26-9A54-B7CAAC2E9BC5}">
      <formula1>"Ejecutado, No ejecutado, En Proceso"</formula1>
    </dataValidation>
    <dataValidation type="list" allowBlank="1" showInputMessage="1" showErrorMessage="1" sqref="D15:D25" xr:uid="{19BB2056-0061-4C2B-92E3-F84EE370626A}">
      <formula1>"Jenifer Lara"</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31</vt:i4>
      </vt:variant>
    </vt:vector>
  </HeadingPairs>
  <TitlesOfParts>
    <vt:vector size="31" baseType="lpstr">
      <vt:lpstr>Consolidado</vt:lpstr>
      <vt:lpstr>Nivel Primario</vt:lpstr>
      <vt:lpstr>Nivel Secundario</vt:lpstr>
      <vt:lpstr>NS-Lengua Española</vt:lpstr>
      <vt:lpstr>NS-Matemáticas</vt:lpstr>
      <vt:lpstr>NS-Sociales</vt:lpstr>
      <vt:lpstr>NS-Naturales</vt:lpstr>
      <vt:lpstr>NS-Tecn. Profesional</vt:lpstr>
      <vt:lpstr>NS-Modalidad Artes</vt:lpstr>
      <vt:lpstr>NS-FIHR</vt:lpstr>
      <vt:lpstr>NS-Educación Fisica</vt:lpstr>
      <vt:lpstr>NS-Lenguas Extranjeras </vt:lpstr>
      <vt:lpstr>NS-Artistica</vt:lpstr>
      <vt:lpstr>Adultos</vt:lpstr>
      <vt:lpstr>Planificación</vt:lpstr>
      <vt:lpstr>Supervisión</vt:lpstr>
      <vt:lpstr>Evaluación de los aprendizajes</vt:lpstr>
      <vt:lpstr>Descentralización </vt:lpstr>
      <vt:lpstr>INABIE</vt:lpstr>
      <vt:lpstr>Cultura</vt:lpstr>
      <vt:lpstr>Gestión de riesgo</vt:lpstr>
      <vt:lpstr>SIGERD</vt:lpstr>
      <vt:lpstr>Informática Educa</vt:lpstr>
      <vt:lpstr>Inafocam</vt:lpstr>
      <vt:lpstr>Infraestructura</vt:lpstr>
      <vt:lpstr>Orientación y Psicología</vt:lpstr>
      <vt:lpstr>CAD</vt:lpstr>
      <vt:lpstr>Educación de Genero </vt:lpstr>
      <vt:lpstr>Coord. Curricular</vt:lpstr>
      <vt:lpstr>Participación Comunitaria</vt:lpstr>
      <vt:lpstr>Colegios Privados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Gladybel Lantigua</dc:creator>
  <cp:keywords/>
  <dc:description/>
  <cp:lastModifiedBy>Gladybel Lantigua</cp:lastModifiedBy>
  <cp:revision/>
  <dcterms:created xsi:type="dcterms:W3CDTF">2025-08-26T12:34:12Z</dcterms:created>
  <dcterms:modified xsi:type="dcterms:W3CDTF">2026-04-29T02:41:47Z</dcterms:modified>
  <cp:category/>
  <cp:contentStatus/>
</cp:coreProperties>
</file>